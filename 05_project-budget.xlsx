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4a71ad907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2f1469cf7540d4"/>
    <x:sheet xmlns:r="http://schemas.openxmlformats.org/officeDocument/2006/relationships" name="Budget" sheetId="2" r:id="R8012e62a40d6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#,##0"/>
    <x:numFmt numFmtId="201" formatCode="&quot;R$&quot;#,##0;(&quot;R$&quot;#,##0);-"/>
  </x:numFmts>
  <x:fonts count="10">
    <x:font>
      <x:sz val="11"/>
      <x:name val="Carlito"/>
    </x:font>
    <x:font>
      <x:b/>
      <x:sz val="15"/>
      <x:color rgb="FF17324D"/>
      <x:name val="Arial"/>
    </x:font>
    <x:font>
      <x:i/>
      <x:sz val="9"/>
      <x:color rgb="FF667085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9"/>
      <x:color rgb="FF475467"/>
      <x:name val="Arial"/>
    </x:font>
    <x:font>
      <x:b/>
      <x:sz val="14"/>
      <x:color rgb="FF17324D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DFF3F0"/>
      </x:patternFill>
    </x:fill>
    <x:fill>
      <x:patternFill patternType="solid">
        <x:fgColor rgb="FF17324D"/>
      </x:patternFill>
    </x:fill>
  </x:fills>
  <x:borders count="14">
    <x:border/>
    <x:border>
      <x:bottom style="thin">
        <x:color rgb="FF1F6E8C"/>
      </x:bottom>
    </x:border>
    <x:border>
      <x:bottom style="medium">
        <x:color rgb="FF2C9C95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A"/>
      </x:left>
      <x:top style="thin">
        <x:color rgb="FFD9E2EA"/>
      </x:top>
      <x:bottom style="thin">
        <x:color rgb="FF17324D"/>
      </x:bottom>
    </x:border>
    <x:border>
      <x:top style="thin">
        <x:color rgb="FFD9E2EA"/>
      </x:top>
      <x:bottom style="thin">
        <x:color rgb="FF17324D"/>
      </x:bottom>
    </x:border>
    <x:border>
      <x:right style="thin">
        <x:color rgb="FFD9E2EA"/>
      </x:right>
      <x:top style="thin">
        <x:color rgb="FFD9E2EA"/>
      </x:top>
      <x:bottom style="thin">
        <x:color rgb="FF17324D"/>
      </x:bottom>
    </x:border>
    <x:border>
      <x:left style="thin">
        <x:color rgb="FFD9E2EA"/>
      </x:left>
    </x:border>
    <x:border>
      <x:right style="thin">
        <x:color rgb="FFD9E2EA"/>
      </x:right>
    </x:border>
    <x:border>
      <x:left style="thin">
        <x:color rgb="FFD9E2EA"/>
      </x:left>
      <x:bottom style="thin">
        <x:color rgb="FFD9E2EA"/>
      </x:bottom>
    </x:border>
    <x:border>
      <x:bottom style="thin">
        <x:color rgb="FFD9E2EA"/>
      </x:bottom>
    </x:border>
    <x:border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vertical="center"/>
    </x:xf>
    <x:xf numFmtId="200" fontId="7" fillId="3" borderId="2" xfId="0" applyNumberFormat="1" applyFont="1" applyFill="1" applyBorder="1" applyAlignment="1">
      <x:alignment horizontal="center" vertical="center"/>
    </x:xf>
    <x:xf numFmtId="201" fontId="7" fillId="3" borderId="2" xfId="0" applyNumberFormat="1" applyFont="1" applyFill="1" applyBorder="1" applyAlignment="1">
      <x:alignment vertical="center"/>
    </x:xf>
    <x:xf numFmtId="201" fontId="7" fillId="3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3" xfId="0" applyNumberFormat="1" applyFont="1" applyFill="1" applyBorder="1" applyAlignment="1">
      <x:alignment horizontal="center" vertical="center"/>
    </x:xf>
    <x:xf numFmtId="0" fontId="9" fillId="5" borderId="4" xfId="0" applyNumberFormat="1" applyFont="1" applyFill="1" applyBorder="1" applyAlignment="1">
      <x:alignment horizontal="center" vertical="center"/>
    </x:xf>
    <x:xf numFmtId="0" fontId="9" fillId="5" borderId="5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1" fontId="4" fillId="0" borderId="13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65746ab9c433b" /><Relationship Type="http://schemas.openxmlformats.org/officeDocument/2006/relationships/theme" Target="/xl/theme/theme1.xml" Id="R4b85e0176cce405c" /><Relationship Type="http://schemas.openxmlformats.org/officeDocument/2006/relationships/sharedStrings" Target="/xl/sharedStrings.xml" Id="Rda700f48c39d4255" /><Relationship Type="http://schemas.openxmlformats.org/officeDocument/2006/relationships/worksheet" Target="/xl/worksheets/sheet1.xml" Id="R842f1469cf7540d4" /><Relationship Type="http://schemas.openxmlformats.org/officeDocument/2006/relationships/worksheet" Target="/xl/worksheets/sheet2.xml" Id="R8012e62a40d647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ab092b83124c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Orçamento x previsão (R$)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Orçamento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"R$"#,##0;("R$"#,##0);-</c:formatCode>
                <c:ptCount val="0"/>
              </c:numCache>
            </c:numRef>
          </c:val>
        </c:ser>
        <c:ser>
          <c:idx val="1"/>
          <c:order val="1"/>
          <c:tx>
            <c:v>Previsão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'Dashboard'!$C$11:$C$14</c:f>
              <c:numCache>
                <c:formatCode>"R$"#,##0;("R$"#,##0);-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ab092b83124c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06c3dc28cd4c9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Project Budget &amp; Cash Flow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Orçamento de projeto, realizado, previsão e rentabilidade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14" t="str">
        <x:v>Orçamento aprovado</x:v>
      </x:c>
      <x:c r="B5" s="9"/>
      <x:c r="C5" s="14" t="str">
        <x:v>Realizado</x:v>
      </x:c>
      <x:c r="D5" s="9"/>
      <x:c r="E5" s="14" t="str">
        <x:v>Previsão final</x:v>
      </x:c>
      <x:c r="F5" s="9"/>
      <x:c r="G5" s="14" t="str">
        <x:v>Variação vs. orçamento</x:v>
      </x:c>
      <x:c r="H5" s="9"/>
      <x:c r="I5" s="9"/>
      <x:c r="J5" s="9"/>
      <x:c r="K5" s="9"/>
      <x:c r="L5" s="9"/>
    </x:row>
    <x:row r="6">
      <x:c r="A6" s="19" t="n">
        <x:f>SUM(Budget!C6:C17)</x:f>
        <x:v>353000</x:v>
      </x:c>
      <x:c r="B6" s="9"/>
      <x:c r="C6" s="19" t="n">
        <x:f>SUM(Budget!D6:D17)</x:f>
        <x:v>261500</x:v>
      </x:c>
      <x:c r="D6" s="9"/>
      <x:c r="E6" s="19" t="n">
        <x:f>SUM(Budget!E6:E17)</x:f>
        <x:v>359600</x:v>
      </x:c>
      <x:c r="F6" s="9"/>
      <x:c r="G6" s="21" t="n">
        <x:f>E6-A6</x:f>
        <x:v>6600</x:v>
      </x:c>
      <x:c r="H6" s="9"/>
      <x:c r="I6" s="9"/>
      <x:c r="J6" s="9"/>
      <x:c r="K6" s="9"/>
      <x:c r="L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23" t="str">
        <x:v>Variação por frente de trabalho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31" t="str">
        <x:v>Frente</x:v>
      </x:c>
      <x:c r="B10" s="32" t="str">
        <x:v>Orçamento</x:v>
      </x:c>
      <x:c r="C10" s="32" t="str">
        <x:v>Previsão</x:v>
      </x:c>
      <x:c r="D10" s="33" t="str">
        <x:v>Variação</x:v>
      </x:c>
      <x:c r="E10" s="9"/>
      <x:c r="F10" s="9"/>
      <x:c r="G10" s="9"/>
      <x:c r="H10" s="9"/>
      <x:c r="I10" s="9"/>
      <x:c r="J10" s="9"/>
      <x:c r="K10" s="9"/>
      <x:c r="L10" s="9"/>
    </x:row>
    <x:row r="11">
      <x:c r="A11" s="34" t="str">
        <x:v>Descoberta</x:v>
      </x:c>
      <x:c r="B11" s="30" t="n">
        <x:f>SUMIFS(Budget!$C$6:$C$17,Budget!$A$6:$A$17,A11)</x:f>
        <x:v>76000</x:v>
      </x:c>
      <x:c r="C11" s="30" t="n">
        <x:f>SUMIFS(Budget!$E$6:$E$17,Budget!$A$6:$A$17,A11)</x:f>
        <x:v>78500</x:v>
      </x:c>
      <x:c r="D11" s="35" t="n">
        <x:f>C11-B11</x:f>
        <x:v>2500</x:v>
      </x:c>
      <x:c r="E11" s="9"/>
      <x:c r="F11" s="9"/>
      <x:c r="G11" s="9"/>
      <x:c r="H11" s="9"/>
      <x:c r="I11" s="9"/>
      <x:c r="J11" s="9"/>
      <x:c r="K11" s="9"/>
      <x:c r="L11" s="9"/>
    </x:row>
    <x:row r="12">
      <x:c r="A12" s="34" t="str">
        <x:v>Implementação</x:v>
      </x:c>
      <x:c r="B12" s="30" t="n">
        <x:f>SUMIFS(Budget!$C$6:$C$17,Budget!$A$6:$A$17,A12)</x:f>
        <x:v>167000</x:v>
      </x:c>
      <x:c r="C12" s="30" t="n">
        <x:f>SUMIFS(Budget!$E$6:$E$17,Budget!$A$6:$A$17,A12)</x:f>
        <x:v>176000</x:v>
      </x:c>
      <x:c r="D12" s="35" t="n">
        <x:f>C12-B12</x:f>
        <x:v>9000</x:v>
      </x:c>
      <x:c r="E12" s="9"/>
      <x:c r="F12" s="9"/>
      <x:c r="G12" s="9"/>
      <x:c r="H12" s="9"/>
      <x:c r="I12" s="9"/>
      <x:c r="J12" s="9"/>
      <x:c r="K12" s="9"/>
      <x:c r="L12" s="9"/>
    </x:row>
    <x:row r="13">
      <x:c r="A13" s="34" t="str">
        <x:v>Lançamento</x:v>
      </x:c>
      <x:c r="B13" s="30" t="n">
        <x:f>SUMIFS(Budget!$C$6:$C$17,Budget!$A$6:$A$17,A13)</x:f>
        <x:v>53000</x:v>
      </x:c>
      <x:c r="C13" s="30" t="n">
        <x:f>SUMIFS(Budget!$E$6:$E$17,Budget!$A$6:$A$17,A13)</x:f>
        <x:v>51500</x:v>
      </x:c>
      <x:c r="D13" s="35" t="n">
        <x:f>C13-B13</x:f>
        <x:v>-1500</x:v>
      </x:c>
      <x:c r="E13" s="9"/>
      <x:c r="F13" s="9"/>
      <x:c r="G13" s="9"/>
      <x:c r="H13" s="9"/>
      <x:c r="I13" s="9"/>
      <x:c r="J13" s="9"/>
      <x:c r="K13" s="9"/>
      <x:c r="L13" s="9"/>
    </x:row>
    <x:row r="14">
      <x:c r="A14" s="36" t="str">
        <x:v>Gestão</x:v>
      </x:c>
      <x:c r="B14" s="37" t="n">
        <x:f>SUMIFS(Budget!$C$6:$C$17,Budget!$A$6:$A$17,A14)</x:f>
        <x:v>57000</x:v>
      </x:c>
      <x:c r="C14" s="37" t="n">
        <x:f>SUMIFS(Budget!$E$6:$E$17,Budget!$A$6:$A$17,A14)</x:f>
        <x:v>53600</x:v>
      </x:c>
      <x:c r="D14" s="38" t="n">
        <x:f>C14-B14</x:f>
        <x:v>-3400</x:v>
      </x:c>
      <x:c r="E14" s="9"/>
      <x:c r="F14" s="9"/>
      <x:c r="G14" s="9"/>
      <x:c r="H14" s="9"/>
      <x:c r="I14" s="9"/>
      <x:c r="J14" s="9"/>
      <x:c r="K14" s="9"/>
      <x:c r="L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9706c3dc28cd4c9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2" customHeight="1">
      <x:c r="A1" s="5" t="str">
        <x:v>Project Budget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2" customHeight="1">
      <x:c r="A2" s="10" t="str">
        <x:v>Controle por categoria, horas e custo projetado | Dados fictícios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31" t="str">
        <x:v>Frente</x:v>
      </x:c>
      <x:c r="B5" s="32" t="str">
        <x:v>Categoria</x:v>
      </x:c>
      <x:c r="C5" s="32" t="str">
        <x:v>Orçamento</x:v>
      </x:c>
      <x:c r="D5" s="32" t="str">
        <x:v>Realizado</x:v>
      </x:c>
      <x:c r="E5" s="32" t="str">
        <x:v>Previsão final</x:v>
      </x:c>
      <x:c r="F5" s="32" t="str">
        <x:v>Variação</x:v>
      </x:c>
      <x:c r="G5" s="32" t="str">
        <x:v>Horas planejadas</x:v>
      </x:c>
      <x:c r="H5" s="33" t="str">
        <x:v>Horas realizadas</x:v>
      </x:c>
      <x:c r="I5" s="9"/>
      <x:c r="J5" s="9"/>
      <x:c r="K5" s="9"/>
      <x:c r="L5" s="9"/>
    </x:row>
    <x:row r="6">
      <x:c r="A6" s="34" t="str">
        <x:v>Descoberta</x:v>
      </x:c>
      <x:c r="B6" s="9" t="str">
        <x:v>Pesquisa</x:v>
      </x:c>
      <x:c r="C6" s="30" t="n">
        <x:v>26000</x:v>
      </x:c>
      <x:c r="D6" s="30" t="n">
        <x:v>24000</x:v>
      </x:c>
      <x:c r="E6" s="30" t="n">
        <x:v>27000</x:v>
      </x:c>
      <x:c r="F6" s="30" t="n">
        <x:f>E6-C6</x:f>
        <x:v>1000</x:v>
      </x:c>
      <x:c r="G6" s="9" t="n">
        <x:v>160</x:v>
      </x:c>
      <x:c r="H6" s="39" t="n">
        <x:v>172</x:v>
      </x:c>
      <x:c r="I6" s="9"/>
      <x:c r="J6" s="9"/>
      <x:c r="K6" s="9"/>
      <x:c r="L6" s="9"/>
    </x:row>
    <x:row r="7">
      <x:c r="A7" s="34" t="str">
        <x:v>Descoberta</x:v>
      </x:c>
      <x:c r="B7" s="9" t="str">
        <x:v>Workshops</x:v>
      </x:c>
      <x:c r="C7" s="30" t="n">
        <x:v>18000</x:v>
      </x:c>
      <x:c r="D7" s="30" t="n">
        <x:v>15500</x:v>
      </x:c>
      <x:c r="E7" s="30" t="n">
        <x:v>17500</x:v>
      </x:c>
      <x:c r="F7" s="30" t="n">
        <x:f>E7-C7</x:f>
        <x:v>-500</x:v>
      </x:c>
      <x:c r="G7" s="9" t="n">
        <x:v>110</x:v>
      </x:c>
      <x:c r="H7" s="39" t="n">
        <x:v>98</x:v>
      </x:c>
      <x:c r="I7" s="9"/>
      <x:c r="J7" s="9"/>
      <x:c r="K7" s="9"/>
      <x:c r="L7" s="9"/>
    </x:row>
    <x:row r="8">
      <x:c r="A8" s="34" t="str">
        <x:v>Descoberta</x:v>
      </x:c>
      <x:c r="B8" s="9" t="str">
        <x:v>UX</x:v>
      </x:c>
      <x:c r="C8" s="30" t="n">
        <x:v>32000</x:v>
      </x:c>
      <x:c r="D8" s="30" t="n">
        <x:v>28000</x:v>
      </x:c>
      <x:c r="E8" s="30" t="n">
        <x:v>34000</x:v>
      </x:c>
      <x:c r="F8" s="30" t="n">
        <x:f>E8-C8</x:f>
        <x:v>2000</x:v>
      </x:c>
      <x:c r="G8" s="9" t="n">
        <x:v>210</x:v>
      </x:c>
      <x:c r="H8" s="39" t="n">
        <x:v>225</x:v>
      </x:c>
      <x:c r="I8" s="9"/>
      <x:c r="J8" s="9"/>
      <x:c r="K8" s="9"/>
      <x:c r="L8" s="9"/>
    </x:row>
    <x:row r="9">
      <x:c r="A9" s="34" t="str">
        <x:v>Implementação</x:v>
      </x:c>
      <x:c r="B9" s="9" t="str">
        <x:v>Desenvolvimento</x:v>
      </x:c>
      <x:c r="C9" s="30" t="n">
        <x:v>95000</x:v>
      </x:c>
      <x:c r="D9" s="30" t="n">
        <x:v>72000</x:v>
      </x:c>
      <x:c r="E9" s="30" t="n">
        <x:v>102000</x:v>
      </x:c>
      <x:c r="F9" s="30" t="n">
        <x:f>E9-C9</x:f>
        <x:v>7000</x:v>
      </x:c>
      <x:c r="G9" s="9" t="n">
        <x:v>640</x:v>
      </x:c>
      <x:c r="H9" s="39" t="n">
        <x:v>680</x:v>
      </x:c>
      <x:c r="I9" s="9"/>
      <x:c r="J9" s="9"/>
      <x:c r="K9" s="9"/>
      <x:c r="L9" s="9"/>
    </x:row>
    <x:row r="10">
      <x:c r="A10" s="34" t="str">
        <x:v>Implementação</x:v>
      </x:c>
      <x:c r="B10" s="9" t="str">
        <x:v>Integrações</x:v>
      </x:c>
      <x:c r="C10" s="30" t="n">
        <x:v>48000</x:v>
      </x:c>
      <x:c r="D10" s="30" t="n">
        <x:v>39000</x:v>
      </x:c>
      <x:c r="E10" s="30" t="n">
        <x:v>51000</x:v>
      </x:c>
      <x:c r="F10" s="30" t="n">
        <x:f>E10-C10</x:f>
        <x:v>3000</x:v>
      </x:c>
      <x:c r="G10" s="9" t="n">
        <x:v>300</x:v>
      </x:c>
      <x:c r="H10" s="39" t="n">
        <x:v>325</x:v>
      </x:c>
      <x:c r="I10" s="9"/>
      <x:c r="J10" s="9"/>
      <x:c r="K10" s="9"/>
      <x:c r="L10" s="9"/>
    </x:row>
    <x:row r="11">
      <x:c r="A11" s="34" t="str">
        <x:v>Implementação</x:v>
      </x:c>
      <x:c r="B11" s="9" t="str">
        <x:v>QA</x:v>
      </x:c>
      <x:c r="C11" s="30" t="n">
        <x:v>24000</x:v>
      </x:c>
      <x:c r="D11" s="30" t="n">
        <x:v>16500</x:v>
      </x:c>
      <x:c r="E11" s="30" t="n">
        <x:v>23000</x:v>
      </x:c>
      <x:c r="F11" s="30" t="n">
        <x:f>E11-C11</x:f>
        <x:v>-1000</x:v>
      </x:c>
      <x:c r="G11" s="9" t="n">
        <x:v>180</x:v>
      </x:c>
      <x:c r="H11" s="39" t="n">
        <x:v>165</x:v>
      </x:c>
      <x:c r="I11" s="9"/>
      <x:c r="J11" s="9"/>
      <x:c r="K11" s="9"/>
      <x:c r="L11" s="9"/>
    </x:row>
    <x:row r="12">
      <x:c r="A12" s="34" t="str">
        <x:v>Lançamento</x:v>
      </x:c>
      <x:c r="B12" s="9" t="str">
        <x:v>Treinamento</x:v>
      </x:c>
      <x:c r="C12" s="30" t="n">
        <x:v>14000</x:v>
      </x:c>
      <x:c r="D12" s="30" t="n">
        <x:v>8000</x:v>
      </x:c>
      <x:c r="E12" s="30" t="n">
        <x:v>13500</x:v>
      </x:c>
      <x:c r="F12" s="30" t="n">
        <x:f>E12-C12</x:f>
        <x:v>-500</x:v>
      </x:c>
      <x:c r="G12" s="9" t="n">
        <x:v>95</x:v>
      </x:c>
      <x:c r="H12" s="39" t="n">
        <x:v>87</x:v>
      </x:c>
      <x:c r="I12" s="9"/>
      <x:c r="J12" s="9"/>
      <x:c r="K12" s="9"/>
      <x:c r="L12" s="9"/>
    </x:row>
    <x:row r="13">
      <x:c r="A13" s="34" t="str">
        <x:v>Lançamento</x:v>
      </x:c>
      <x:c r="B13" s="9" t="str">
        <x:v>Conteúdo</x:v>
      </x:c>
      <x:c r="C13" s="30" t="n">
        <x:v>17000</x:v>
      </x:c>
      <x:c r="D13" s="30" t="n">
        <x:v>12000</x:v>
      </x:c>
      <x:c r="E13" s="30" t="n">
        <x:v>18000</x:v>
      </x:c>
      <x:c r="F13" s="30" t="n">
        <x:f>E13-C13</x:f>
        <x:v>1000</x:v>
      </x:c>
      <x:c r="G13" s="9" t="n">
        <x:v>115</x:v>
      </x:c>
      <x:c r="H13" s="39" t="n">
        <x:v>128</x:v>
      </x:c>
      <x:c r="I13" s="9"/>
      <x:c r="J13" s="9"/>
      <x:c r="K13" s="9"/>
      <x:c r="L13" s="9"/>
    </x:row>
    <x:row r="14">
      <x:c r="A14" s="34" t="str">
        <x:v>Lançamento</x:v>
      </x:c>
      <x:c r="B14" s="9" t="str">
        <x:v>Mídia</x:v>
      </x:c>
      <x:c r="C14" s="30" t="n">
        <x:v>22000</x:v>
      </x:c>
      <x:c r="D14" s="30" t="n">
        <x:v>9000</x:v>
      </x:c>
      <x:c r="E14" s="30" t="n">
        <x:v>20000</x:v>
      </x:c>
      <x:c r="F14" s="30" t="n">
        <x:f>E14-C14</x:f>
        <x:v>-2000</x:v>
      </x:c>
      <x:c r="G14" s="9" t="n">
        <x:v>0</x:v>
      </x:c>
      <x:c r="H14" s="39" t="n">
        <x:v>0</x:v>
      </x:c>
      <x:c r="I14" s="9"/>
      <x:c r="J14" s="9"/>
      <x:c r="K14" s="9"/>
      <x:c r="L14" s="9"/>
    </x:row>
    <x:row r="15">
      <x:c r="A15" s="34" t="str">
        <x:v>Gestão</x:v>
      </x:c>
      <x:c r="B15" s="9" t="str">
        <x:v>Gerência de projeto</x:v>
      </x:c>
      <x:c r="C15" s="30" t="n">
        <x:v>36000</x:v>
      </x:c>
      <x:c r="D15" s="30" t="n">
        <x:v>30000</x:v>
      </x:c>
      <x:c r="E15" s="30" t="n">
        <x:v>38000</x:v>
      </x:c>
      <x:c r="F15" s="30" t="n">
        <x:f>E15-C15</x:f>
        <x:v>2000</x:v>
      </x:c>
      <x:c r="G15" s="9" t="n">
        <x:v>260</x:v>
      </x:c>
      <x:c r="H15" s="39" t="n">
        <x:v>275</x:v>
      </x:c>
      <x:c r="I15" s="9"/>
      <x:c r="J15" s="9"/>
      <x:c r="K15" s="9"/>
      <x:c r="L15" s="9"/>
    </x:row>
    <x:row r="16">
      <x:c r="A16" s="34" t="str">
        <x:v>Gestão</x:v>
      </x:c>
      <x:c r="B16" s="9" t="str">
        <x:v>Ferramentas</x:v>
      </x:c>
      <x:c r="C16" s="30" t="n">
        <x:v>9000</x:v>
      </x:c>
      <x:c r="D16" s="30" t="n">
        <x:v>7500</x:v>
      </x:c>
      <x:c r="E16" s="30" t="n">
        <x:v>9600</x:v>
      </x:c>
      <x:c r="F16" s="30" t="n">
        <x:f>E16-C16</x:f>
        <x:v>600</x:v>
      </x:c>
      <x:c r="G16" s="9" t="n">
        <x:v>0</x:v>
      </x:c>
      <x:c r="H16" s="39" t="n">
        <x:v>0</x:v>
      </x:c>
      <x:c r="I16" s="9"/>
      <x:c r="J16" s="9"/>
      <x:c r="K16" s="9"/>
      <x:c r="L16" s="9"/>
    </x:row>
    <x:row r="17">
      <x:c r="A17" s="36" t="str">
        <x:v>Gestão</x:v>
      </x:c>
      <x:c r="B17" s="40" t="str">
        <x:v>Reserva</x:v>
      </x:c>
      <x:c r="C17" s="37" t="n">
        <x:v>12000</x:v>
      </x:c>
      <x:c r="D17" s="37" t="n">
        <x:v>0</x:v>
      </x:c>
      <x:c r="E17" s="37" t="n">
        <x:v>6000</x:v>
      </x:c>
      <x:c r="F17" s="37" t="n">
        <x:f>E17-C17</x:f>
        <x:v>-6000</x:v>
      </x:c>
      <x:c r="G17" s="40" t="n">
        <x:v>0</x:v>
      </x:c>
      <x:c r="H17" s="41" t="n">
        <x:v>0</x:v>
      </x:c>
      <x:c r="I17" s="9"/>
      <x:c r="J17" s="9"/>
      <x:c r="K17" s="9"/>
      <x:c r="L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</x:sheetData>
  <x:mergeCells>
    <x:mergeCell ref="A1:L1"/>
    <x:mergeCell ref="A2:L2"/>
  </x:mergeCells>
  <x:conditionalFormatting sqref="F6:F17">
    <x:cfRule type="cellIs" dxfId="0" priority="1" operator="greaterThan">
      <x:formula>0</x:formula>
    </x:cfRule>
    <x:cfRule type="cellIs" dxfId="1" priority="2" operator="lessThanOrEqual">
      <x:formula>0</x:formula>
    </x:cfRule>
  </x:conditionalFormatting>
  <x:pageMargins left="0.7" right="0.7" top="0.75" bottom="0.75" header="0.3" footer="0.3"/>
</x:worksheet>
</file>