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58034d351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ae958e2e9b64166"/>
    <x:sheet xmlns:r="http://schemas.openxmlformats.org/officeDocument/2006/relationships" name="Deals" sheetId="2" r:id="R574cd7c55cd848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R$&quot;#,##0"/>
    <x:numFmt numFmtId="201" formatCode="0.0%"/>
    <x:numFmt numFmtId="202" formatCode="dd-mmm-yy"/>
    <x:numFmt numFmtId="203" formatCode="0%"/>
  </x:numFmts>
  <x:fonts count="10">
    <x:font>
      <x:sz val="11"/>
      <x:name val="Carlito"/>
    </x:font>
    <x:font>
      <x:b/>
      <x:sz val="15"/>
      <x:color rgb="FF17324D"/>
      <x:name val="Arial"/>
    </x:font>
    <x:font>
      <x:i/>
      <x:sz val="9"/>
      <x:color rgb="FF667085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9"/>
      <x:color rgb="FF475467"/>
      <x:name val="Arial"/>
    </x:font>
    <x:font>
      <x:b/>
      <x:sz val="14"/>
      <x:color rgb="FF17324D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4F6F8"/>
      </x:patternFill>
    </x:fill>
    <x:fill>
      <x:patternFill patternType="solid">
        <x:fgColor rgb="FFFFFFFF"/>
      </x:patternFill>
    </x:fill>
    <x:fill>
      <x:patternFill patternType="solid">
        <x:fgColor rgb="FFDFF3F0"/>
      </x:patternFill>
    </x:fill>
    <x:fill>
      <x:patternFill patternType="solid">
        <x:fgColor rgb="FF17324D"/>
      </x:patternFill>
    </x:fill>
  </x:fills>
  <x:borders count="14">
    <x:border/>
    <x:border>
      <x:bottom style="thin">
        <x:color rgb="FF1F6E8C"/>
      </x:bottom>
    </x:border>
    <x:border>
      <x:bottom style="medium">
        <x:color rgb="FF2C9C95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D9E2EA"/>
      </x:left>
      <x:top style="thin">
        <x:color rgb="FFD9E2EA"/>
      </x:top>
      <x:bottom style="thin">
        <x:color rgb="FF17324D"/>
      </x:bottom>
    </x:border>
    <x:border>
      <x:top style="thin">
        <x:color rgb="FFD9E2EA"/>
      </x:top>
      <x:bottom style="thin">
        <x:color rgb="FF17324D"/>
      </x:bottom>
    </x:border>
    <x:border>
      <x:right style="thin">
        <x:color rgb="FFD9E2EA"/>
      </x:right>
      <x:top style="thin">
        <x:color rgb="FFD9E2EA"/>
      </x:top>
      <x:bottom style="thin">
        <x:color rgb="FF17324D"/>
      </x:bottom>
    </x:border>
    <x:border>
      <x:left style="thin">
        <x:color rgb="FFD9E2EA"/>
      </x:left>
    </x:border>
    <x:border>
      <x:right style="thin">
        <x:color rgb="FFD9E2EA"/>
      </x:right>
    </x:border>
    <x:border>
      <x:left style="thin">
        <x:color rgb="FFD9E2EA"/>
      </x:left>
      <x:bottom style="thin">
        <x:color rgb="FFD9E2EA"/>
      </x:bottom>
    </x:border>
    <x:border>
      <x:bottom style="thin">
        <x:color rgb="FFD9E2EA"/>
      </x:bottom>
    </x:border>
    <x:border>
      <x:right style="thin">
        <x:color rgb="FFD9E2EA"/>
      </x:right>
      <x:bottom style="thin">
        <x:color rgb="FFD9E2EA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2" xfId="0" applyNumberFormat="1" applyFont="1" applyFill="1" applyBorder="1" applyAlignment="1">
      <x:alignment vertical="center"/>
    </x:xf>
    <x:xf numFmtId="200" fontId="7" fillId="3" borderId="2" xfId="0" applyNumberFormat="1" applyFont="1" applyFill="1" applyBorder="1" applyAlignment="1">
      <x:alignment vertical="center"/>
    </x:xf>
    <x:xf numFmtId="200" fontId="7" fillId="3" borderId="2" xfId="0" applyNumberFormat="1" applyFont="1" applyFill="1" applyBorder="1" applyAlignment="1">
      <x:alignment horizontal="center" vertical="center"/>
    </x:xf>
    <x:xf numFmtId="201" fontId="7" fillId="3" borderId="2" xfId="0" applyNumberFormat="1" applyFont="1" applyFill="1" applyBorder="1" applyAlignment="1">
      <x:alignment vertical="center"/>
    </x:xf>
    <x:xf numFmtId="201" fontId="7" fillId="3" borderId="2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9" fillId="5" borderId="3" xfId="0" applyNumberFormat="1" applyFont="1" applyFill="1" applyBorder="1" applyAlignment="1">
      <x:alignment horizontal="center" vertical="center"/>
    </x:xf>
    <x:xf numFmtId="0" fontId="9" fillId="5" borderId="4" xfId="0" applyNumberFormat="1" applyFont="1" applyFill="1" applyBorder="1" applyAlignment="1">
      <x:alignment horizontal="center" vertical="center"/>
    </x:xf>
    <x:xf numFmtId="0" fontId="9" fillId="5" borderId="5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center"/>
    </x:xf>
    <x:xf numFmtId="0" fontId="9" fillId="5" borderId="6" xfId="0" applyNumberFormat="1" applyFont="1" applyFill="1" applyBorder="1" applyAlignment="1">
      <x:alignment horizontal="center" vertical="center"/>
    </x:xf>
    <x:xf numFmtId="0" fontId="9" fillId="5" borderId="7" xfId="0" applyNumberFormat="1" applyFont="1" applyFill="1" applyBorder="1" applyAlignment="1">
      <x:alignment horizontal="center" vertical="center"/>
    </x:xf>
    <x:xf numFmtId="0" fontId="9" fillId="5" borderId="8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200" fontId="4" fillId="0" borderId="12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0" fontId="4" fillId="0" borderId="10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202" fontId="4" fillId="0" borderId="12" xfId="0" applyNumberFormat="1" applyFont="1" applyFill="1" applyBorder="1" applyAlignment="1">
      <x:alignment vertical="center"/>
    </x:xf>
    <x:xf numFmtId="203" fontId="4" fillId="0" borderId="12" xfId="0" applyNumberFormat="1" applyFont="1" applyFill="1" applyBorder="1" applyAlignment="1">
      <x:alignment vertical="center"/>
    </x:xf>
    <x:xf numFmtId="200" fontId="4" fillId="0" borderId="13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49cafef844431e" /><Relationship Type="http://schemas.openxmlformats.org/officeDocument/2006/relationships/theme" Target="/xl/theme/theme1.xml" Id="R3d8e5cf79c4a4e4c" /><Relationship Type="http://schemas.openxmlformats.org/officeDocument/2006/relationships/sharedStrings" Target="/xl/sharedStrings.xml" Id="Rd3e64eaf81b04816" /><Relationship Type="http://schemas.openxmlformats.org/officeDocument/2006/relationships/worksheet" Target="/xl/worksheets/sheet1.xml" Id="Rcae958e2e9b64166" /><Relationship Type="http://schemas.openxmlformats.org/officeDocument/2006/relationships/worksheet" Target="/xl/worksheets/sheet2.xml" Id="R574cd7c55cd848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d3f1595dbb41c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Valor por etapa (R$)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Valor</c:v>
          </c:tx>
          <c:cat>
            <c:strRef>
              <c:f>'Dashboard'!$A$11:$A$14</c:f>
              <c:strCache>
                <c:ptCount val="0"/>
              </c:strCache>
            </c:strRef>
          </c:cat>
          <c:val>
            <c:numRef>
              <c:f>'Dashboard'!$B$11:$B$14</c:f>
              <c:numCache>
                <c:formatCode>"R$"#,##0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d3f1595dbb41c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5cf27c21f3c432e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2" customHeight="1">
      <x:c r="A1" s="5" t="str">
        <x:v>Sales Pipeline &amp; Commission Tracker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22" customHeight="1">
      <x:c r="A2" s="10" t="str">
        <x:v>Visão comercial de pipeline, forecast e comissões | Dados fictícios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</x:row>
    <x:row r="5">
      <x:c r="A5" s="14" t="str">
        <x:v>Pipeline ponderado</x:v>
      </x:c>
      <x:c r="B5" s="9"/>
      <x:c r="C5" s="14" t="str">
        <x:v>Receita ganha</x:v>
      </x:c>
      <x:c r="D5" s="9"/>
      <x:c r="E5" s="14" t="str">
        <x:v>Taxa de ganho</x:v>
      </x:c>
      <x:c r="F5" s="9"/>
      <x:c r="G5" s="14" t="str">
        <x:v>Comissão prevista</x:v>
      </x:c>
      <x:c r="H5" s="9"/>
      <x:c r="I5" s="9"/>
      <x:c r="J5" s="9"/>
      <x:c r="K5" s="9"/>
      <x:c r="L5" s="9"/>
    </x:row>
    <x:row r="6">
      <x:c r="A6" s="19" t="n">
        <x:f>SUM(Deals!I6:I21)</x:f>
        <x:v>778310</x:v>
      </x:c>
      <x:c r="B6" s="9"/>
      <x:c r="C6" s="19" t="n">
        <x:f>SUMIFS(Deals!H6:H21,Deals!E6:E21,"Ganho")</x:f>
        <x:v>322000</x:v>
      </x:c>
      <x:c r="D6" s="9"/>
      <x:c r="E6" s="21" t="n">
        <x:f>COUNTIFS(Deals!E6:E21,"Ganho")/COUNTIFS(Deals!E6:E21,"&lt;&gt;Aberto")</x:f>
        <x:v>0.25</x:v>
      </x:c>
      <x:c r="F6" s="9"/>
      <x:c r="G6" s="19" t="n">
        <x:f>SUM(Deals!J6:J21)</x:f>
        <x:v>25226.2</x:v>
      </x:c>
      <x:c r="H6" s="9"/>
      <x:c r="I6" s="9"/>
      <x:c r="J6" s="9"/>
      <x:c r="K6" s="9"/>
      <x:c r="L6" s="9"/>
    </x:row>
    <x:row r="7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</x:row>
    <x:row r="8">
      <x:c r="A8" s="9"/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</x:row>
    <x:row r="9">
      <x:c r="A9" s="23" t="str">
        <x:v>Pipeline por etapa</x:v>
      </x:c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</x:row>
    <x:row r="10">
      <x:c r="A10" s="31" t="str">
        <x:v>Etapa</x:v>
      </x:c>
      <x:c r="B10" s="32" t="str">
        <x:v>Valor</x:v>
      </x:c>
      <x:c r="C10" s="33" t="str">
        <x:v>Qtd. negócios</x:v>
      </x:c>
      <x:c r="D10" s="9"/>
      <x:c r="E10" s="9"/>
      <x:c r="F10" s="9"/>
      <x:c r="G10" s="9"/>
      <x:c r="H10" s="9"/>
      <x:c r="I10" s="9"/>
      <x:c r="J10" s="9"/>
      <x:c r="K10" s="9"/>
      <x:c r="L10" s="9"/>
    </x:row>
    <x:row r="11">
      <x:c r="A11" s="34" t="str">
        <x:v>Aberto</x:v>
      </x:c>
      <x:c r="B11" s="30" t="n">
        <x:f>SUMIFS(Deals!H6:H21,Deals!E6:E21,A11)</x:f>
        <x:v>303000</x:v>
      </x:c>
      <x:c r="C11" s="35" t="n">
        <x:f>COUNTIFS(Deals!E6:E21,A11)</x:f>
        <x:v>4</x:v>
      </x:c>
      <x:c r="D11" s="9"/>
      <x:c r="E11" s="9"/>
      <x:c r="F11" s="9"/>
      <x:c r="G11" s="9"/>
      <x:c r="H11" s="9"/>
      <x:c r="I11" s="9"/>
      <x:c r="J11" s="9"/>
      <x:c r="K11" s="9"/>
      <x:c r="L11" s="9"/>
    </x:row>
    <x:row r="12">
      <x:c r="A12" s="34" t="str">
        <x:v>Qualificação</x:v>
      </x:c>
      <x:c r="B12" s="30" t="n">
        <x:f>SUMIFS(Deals!H7:H22,Deals!E7:E22,A12)</x:f>
        <x:v>286000</x:v>
      </x:c>
      <x:c r="C12" s="35" t="n">
        <x:f>COUNTIFS(Deals!E7:E22,A12)</x:f>
        <x:v>4</x:v>
      </x:c>
      <x:c r="D12" s="9"/>
      <x:c r="E12" s="9"/>
      <x:c r="F12" s="9"/>
      <x:c r="G12" s="9"/>
      <x:c r="H12" s="9"/>
      <x:c r="I12" s="9"/>
      <x:c r="J12" s="9"/>
      <x:c r="K12" s="9"/>
      <x:c r="L12" s="9"/>
    </x:row>
    <x:row r="13">
      <x:c r="A13" s="34" t="str">
        <x:v>Proposta</x:v>
      </x:c>
      <x:c r="B13" s="30" t="n">
        <x:f>SUMIFS(Deals!H8:H23,Deals!E8:E23,A13)</x:f>
        <x:v>395000</x:v>
      </x:c>
      <x:c r="C13" s="35" t="n">
        <x:f>COUNTIFS(Deals!E8:E23,A13)</x:f>
        <x:v>4</x:v>
      </x:c>
      <x:c r="D13" s="9"/>
      <x:c r="E13" s="9"/>
      <x:c r="F13" s="9"/>
      <x:c r="G13" s="9"/>
      <x:c r="H13" s="9"/>
      <x:c r="I13" s="9"/>
      <x:c r="J13" s="9"/>
      <x:c r="K13" s="9"/>
      <x:c r="L13" s="9"/>
    </x:row>
    <x:row r="14">
      <x:c r="A14" s="36" t="str">
        <x:v>Ganho</x:v>
      </x:c>
      <x:c r="B14" s="37" t="n">
        <x:f>SUMIFS(Deals!H9:H24,Deals!E9:E24,A14)</x:f>
        <x:v>202000</x:v>
      </x:c>
      <x:c r="C14" s="38" t="n">
        <x:f>COUNTIFS(Deals!E9:E24,A14)</x:f>
        <x:v>2</x:v>
      </x:c>
      <x:c r="D14" s="9"/>
      <x:c r="E14" s="9"/>
      <x:c r="F14" s="9"/>
      <x:c r="G14" s="9"/>
      <x:c r="H14" s="9"/>
      <x:c r="I14" s="9"/>
      <x:c r="J14" s="9"/>
      <x:c r="K14" s="9"/>
      <x:c r="L14" s="9"/>
    </x:row>
    <x:row r="15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</x:row>
    <x:row r="16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</x:row>
    <x:row r="17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</x:row>
    <x:row r="21">
      <x:c r="A21" s="9"/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</x:row>
    <x:row r="22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</x:row>
    <x:row r="23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</x:row>
    <x:row r="24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</x:row>
    <x:row r="26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</x:row>
    <x:row r="27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</x:row>
    <x:row r="28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</x:row>
    <x:row r="29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</x:row>
    <x:row r="30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</x:row>
    <x:row r="3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85cf27c21f3c432e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2" customHeight="1">
      <x:c r="A1" s="5" t="str">
        <x:v>Sales Pipeline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22" customHeight="1">
      <x:c r="A2" s="10" t="str">
        <x:v>Probabilidades e comissões são calculadas automaticamente | Dados fictícios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</x:row>
    <x:row r="5">
      <x:c r="A5" s="31" t="str">
        <x:v>ID</x:v>
      </x:c>
      <x:c r="B5" s="32" t="str">
        <x:v>Conta</x:v>
      </x:c>
      <x:c r="C5" s="32" t="str">
        <x:v>Segmento</x:v>
      </x:c>
      <x:c r="D5" s="32" t="str">
        <x:v>Responsável</x:v>
      </x:c>
      <x:c r="E5" s="32" t="str">
        <x:v>Etapa</x:v>
      </x:c>
      <x:c r="F5" s="32" t="str">
        <x:v>Fechamento previsto</x:v>
      </x:c>
      <x:c r="G5" s="32" t="str">
        <x:v>Probabilidade</x:v>
      </x:c>
      <x:c r="H5" s="32" t="str">
        <x:v>Valor</x:v>
      </x:c>
      <x:c r="I5" s="32" t="str">
        <x:v>Forecast ponderado</x:v>
      </x:c>
      <x:c r="J5" s="33" t="str">
        <x:v>Comissão</x:v>
      </x:c>
      <x:c r="K5" s="9"/>
      <x:c r="L5" s="9"/>
    </x:row>
    <x:row r="6">
      <x:c r="A6" s="34" t="str">
        <x:v>D-001</x:v>
      </x:c>
      <x:c r="B6" s="9" t="str">
        <x:v>Aurora Labs</x:v>
      </x:c>
      <x:c r="C6" s="9" t="str">
        <x:v>SaaS</x:v>
      </x:c>
      <x:c r="D6" s="9" t="str">
        <x:v>Luan</x:v>
      </x:c>
      <x:c r="E6" s="9" t="str">
        <x:v>Ganho</x:v>
      </x:c>
      <x:c r="F6" s="39" t="n">
        <x:v>46401</x:v>
      </x:c>
      <x:c r="G6" s="40" t="n">
        <x:v>1</x:v>
      </x:c>
      <x:c r="H6" s="30" t="n">
        <x:v>120000</x:v>
      </x:c>
      <x:c r="I6" s="30" t="n">
        <x:f>H6*G6</x:f>
        <x:v>120000</x:v>
      </x:c>
      <x:c r="J6" s="41" t="n">
        <x:f>IF(E6="Ganho",H6*0.05,I6*0.02)</x:f>
        <x:v>6000</x:v>
      </x:c>
      <x:c r="K6" s="9"/>
      <x:c r="L6" s="9"/>
    </x:row>
    <x:row r="7">
      <x:c r="A7" s="34" t="str">
        <x:v>D-002</x:v>
      </x:c>
      <x:c r="B7" s="9" t="str">
        <x:v>Nexa Foods</x:v>
      </x:c>
      <x:c r="C7" s="9" t="str">
        <x:v>Varejo</x:v>
      </x:c>
      <x:c r="D7" s="9" t="str">
        <x:v>Luan</x:v>
      </x:c>
      <x:c r="E7" s="9" t="str">
        <x:v>Proposta</x:v>
      </x:c>
      <x:c r="F7" s="39" t="n">
        <x:v>46426</x:v>
      </x:c>
      <x:c r="G7" s="40" t="n">
        <x:v>0.65</x:v>
      </x:c>
      <x:c r="H7" s="30" t="n">
        <x:v>85000</x:v>
      </x:c>
      <x:c r="I7" s="30" t="n">
        <x:f>H7*G7</x:f>
        <x:v>55250</x:v>
      </x:c>
      <x:c r="J7" s="41" t="n">
        <x:f>IF(E7="Ganho",H7*0.05,I7*0.02)</x:f>
        <x:v>1105</x:v>
      </x:c>
      <x:c r="K7" s="9"/>
      <x:c r="L7" s="9"/>
    </x:row>
    <x:row r="8">
      <x:c r="A8" s="34" t="str">
        <x:v>D-003</x:v>
      </x:c>
      <x:c r="B8" s="9" t="str">
        <x:v>Brisa Health</x:v>
      </x:c>
      <x:c r="C8" s="9" t="str">
        <x:v>Saúde</x:v>
      </x:c>
      <x:c r="D8" s="9" t="str">
        <x:v>Ana</x:v>
      </x:c>
      <x:c r="E8" s="9" t="str">
        <x:v>Qualificação</x:v>
      </x:c>
      <x:c r="F8" s="39" t="n">
        <x:v>46440</x:v>
      </x:c>
      <x:c r="G8" s="40" t="n">
        <x:v>0.35</x:v>
      </x:c>
      <x:c r="H8" s="30" t="n">
        <x:v>64000</x:v>
      </x:c>
      <x:c r="I8" s="30" t="n">
        <x:f>H8*G8</x:f>
        <x:v>22400</x:v>
      </x:c>
      <x:c r="J8" s="41" t="n">
        <x:f>IF(E8="Ganho",H8*0.05,I8*0.02)</x:f>
        <x:v>448</x:v>
      </x:c>
      <x:c r="K8" s="9"/>
      <x:c r="L8" s="9"/>
    </x:row>
    <x:row r="9">
      <x:c r="A9" s="34" t="str">
        <x:v>D-004</x:v>
      </x:c>
      <x:c r="B9" s="9" t="str">
        <x:v>Terra Log</x:v>
      </x:c>
      <x:c r="C9" s="9" t="str">
        <x:v>Logística</x:v>
      </x:c>
      <x:c r="D9" s="9" t="str">
        <x:v>Luan</x:v>
      </x:c>
      <x:c r="E9" s="9" t="str">
        <x:v>Aberto</x:v>
      </x:c>
      <x:c r="F9" s="39" t="n">
        <x:v>46451</x:v>
      </x:c>
      <x:c r="G9" s="40" t="n">
        <x:v>0.15</x:v>
      </x:c>
      <x:c r="H9" s="30" t="n">
        <x:v>92000</x:v>
      </x:c>
      <x:c r="I9" s="30" t="n">
        <x:f>H9*G9</x:f>
        <x:v>13800</x:v>
      </x:c>
      <x:c r="J9" s="41" t="n">
        <x:f>IF(E9="Ganho",H9*0.05,I9*0.02)</x:f>
        <x:v>276</x:v>
      </x:c>
      <x:c r="K9" s="9"/>
      <x:c r="L9" s="9"/>
    </x:row>
    <x:row r="10">
      <x:c r="A10" s="34" t="str">
        <x:v>D-005</x:v>
      </x:c>
      <x:c r="B10" s="9" t="str">
        <x:v>Orbit Fin</x:v>
      </x:c>
      <x:c r="C10" s="9" t="str">
        <x:v>Fintech</x:v>
      </x:c>
      <x:c r="D10" s="9" t="str">
        <x:v>Ana</x:v>
      </x:c>
      <x:c r="E10" s="9" t="str">
        <x:v>Proposta</x:v>
      </x:c>
      <x:c r="F10" s="39" t="n">
        <x:v>46463</x:v>
      </x:c>
      <x:c r="G10" s="40" t="n">
        <x:v>0.7</x:v>
      </x:c>
      <x:c r="H10" s="30" t="n">
        <x:v>110000</x:v>
      </x:c>
      <x:c r="I10" s="30" t="n">
        <x:f>H10*G10</x:f>
        <x:v>77000</x:v>
      </x:c>
      <x:c r="J10" s="41" t="n">
        <x:f>IF(E10="Ganho",H10*0.05,I10*0.02)</x:f>
        <x:v>1540</x:v>
      </x:c>
      <x:c r="K10" s="9"/>
      <x:c r="L10" s="9"/>
    </x:row>
    <x:row r="11">
      <x:c r="A11" s="34" t="str">
        <x:v>D-006</x:v>
      </x:c>
      <x:c r="B11" s="9" t="str">
        <x:v>Viva Moda</x:v>
      </x:c>
      <x:c r="C11" s="9" t="str">
        <x:v>Varejo</x:v>
      </x:c>
      <x:c r="D11" s="9" t="str">
        <x:v>Luan</x:v>
      </x:c>
      <x:c r="E11" s="9" t="str">
        <x:v>Ganho</x:v>
      </x:c>
      <x:c r="F11" s="39" t="n">
        <x:v>46415</x:v>
      </x:c>
      <x:c r="G11" s="40" t="n">
        <x:v>1</x:v>
      </x:c>
      <x:c r="H11" s="30" t="n">
        <x:v>70000</x:v>
      </x:c>
      <x:c r="I11" s="30" t="n">
        <x:f>H11*G11</x:f>
        <x:v>70000</x:v>
      </x:c>
      <x:c r="J11" s="41" t="n">
        <x:f>IF(E11="Ganho",H11*0.05,I11*0.02)</x:f>
        <x:v>3500</x:v>
      </x:c>
      <x:c r="K11" s="9"/>
      <x:c r="L11" s="9"/>
    </x:row>
    <x:row r="12">
      <x:c r="A12" s="34" t="str">
        <x:v>D-007</x:v>
      </x:c>
      <x:c r="B12" s="9" t="str">
        <x:v>Delta Works</x:v>
      </x:c>
      <x:c r="C12" s="9" t="str">
        <x:v>Indústria</x:v>
      </x:c>
      <x:c r="D12" s="9" t="str">
        <x:v>Ana</x:v>
      </x:c>
      <x:c r="E12" s="9" t="str">
        <x:v>Qualificação</x:v>
      </x:c>
      <x:c r="F12" s="39" t="n">
        <x:v>46487</x:v>
      </x:c>
      <x:c r="G12" s="40" t="n">
        <x:v>0.4</x:v>
      </x:c>
      <x:c r="H12" s="30" t="n">
        <x:v>78000</x:v>
      </x:c>
      <x:c r="I12" s="30" t="n">
        <x:f>H12*G12</x:f>
        <x:v>31200</x:v>
      </x:c>
      <x:c r="J12" s="41" t="n">
        <x:f>IF(E12="Ganho",H12*0.05,I12*0.02)</x:f>
        <x:v>624</x:v>
      </x:c>
      <x:c r="K12" s="9"/>
      <x:c r="L12" s="9"/>
    </x:row>
    <x:row r="13">
      <x:c r="A13" s="34" t="str">
        <x:v>D-008</x:v>
      </x:c>
      <x:c r="B13" s="9" t="str">
        <x:v>Cais Digital</x:v>
      </x:c>
      <x:c r="C13" s="9" t="str">
        <x:v>SaaS</x:v>
      </x:c>
      <x:c r="D13" s="9" t="str">
        <x:v>Luan</x:v>
      </x:c>
      <x:c r="E13" s="9" t="str">
        <x:v>Proposta</x:v>
      </x:c>
      <x:c r="F13" s="39" t="n">
        <x:v>46443</x:v>
      </x:c>
      <x:c r="G13" s="40" t="n">
        <x:v>0.6</x:v>
      </x:c>
      <x:c r="H13" s="30" t="n">
        <x:v>98000</x:v>
      </x:c>
      <x:c r="I13" s="30" t="n">
        <x:f>H13*G13</x:f>
        <x:v>58800</x:v>
      </x:c>
      <x:c r="J13" s="41" t="n">
        <x:f>IF(E13="Ganho",H13*0.05,I13*0.02)</x:f>
        <x:v>1176</x:v>
      </x:c>
      <x:c r="K13" s="9"/>
      <x:c r="L13" s="9"/>
    </x:row>
    <x:row r="14">
      <x:c r="A14" s="34" t="str">
        <x:v>D-009</x:v>
      </x:c>
      <x:c r="B14" s="9" t="str">
        <x:v>Prisma Edu</x:v>
      </x:c>
      <x:c r="C14" s="9" t="str">
        <x:v>Educação</x:v>
      </x:c>
      <x:c r="D14" s="9" t="str">
        <x:v>Ana</x:v>
      </x:c>
      <x:c r="E14" s="9" t="str">
        <x:v>Aberto</x:v>
      </x:c>
      <x:c r="F14" s="39" t="n">
        <x:v>46519</x:v>
      </x:c>
      <x:c r="G14" s="40" t="n">
        <x:v>0.2</x:v>
      </x:c>
      <x:c r="H14" s="30" t="n">
        <x:v>54000</x:v>
      </x:c>
      <x:c r="I14" s="30" t="n">
        <x:f>H14*G14</x:f>
        <x:v>10800</x:v>
      </x:c>
      <x:c r="J14" s="41" t="n">
        <x:f>IF(E14="Ganho",H14*0.05,I14*0.02)</x:f>
        <x:v>216</x:v>
      </x:c>
      <x:c r="K14" s="9"/>
      <x:c r="L14" s="9"/>
    </x:row>
    <x:row r="15">
      <x:c r="A15" s="34" t="str">
        <x:v>D-010</x:v>
      </x:c>
      <x:c r="B15" s="9" t="str">
        <x:v>Alvo Real</x:v>
      </x:c>
      <x:c r="C15" s="9" t="str">
        <x:v>Imobiliário</x:v>
      </x:c>
      <x:c r="D15" s="9" t="str">
        <x:v>Luan</x:v>
      </x:c>
      <x:c r="E15" s="9" t="str">
        <x:v>Qualificação</x:v>
      </x:c>
      <x:c r="F15" s="39" t="n">
        <x:v>46502</x:v>
      </x:c>
      <x:c r="G15" s="40" t="n">
        <x:v>0.45</x:v>
      </x:c>
      <x:c r="H15" s="30" t="n">
        <x:v>76000</x:v>
      </x:c>
      <x:c r="I15" s="30" t="n">
        <x:f>H15*G15</x:f>
        <x:v>34200</x:v>
      </x:c>
      <x:c r="J15" s="41" t="n">
        <x:f>IF(E15="Ganho",H15*0.05,I15*0.02)</x:f>
        <x:v>684</x:v>
      </x:c>
      <x:c r="K15" s="9"/>
      <x:c r="L15" s="9"/>
    </x:row>
    <x:row r="16">
      <x:c r="A16" s="34" t="str">
        <x:v>D-011</x:v>
      </x:c>
      <x:c r="B16" s="9" t="str">
        <x:v>Magna Auto</x:v>
      </x:c>
      <x:c r="C16" s="9" t="str">
        <x:v>Indústria</x:v>
      </x:c>
      <x:c r="D16" s="9" t="str">
        <x:v>Ana</x:v>
      </x:c>
      <x:c r="E16" s="9" t="str">
        <x:v>Proposta</x:v>
      </x:c>
      <x:c r="F16" s="39" t="n">
        <x:v>46509</x:v>
      </x:c>
      <x:c r="G16" s="40" t="n">
        <x:v>0.55</x:v>
      </x:c>
      <x:c r="H16" s="30" t="n">
        <x:v>88000</x:v>
      </x:c>
      <x:c r="I16" s="30" t="n">
        <x:f>H16*G16</x:f>
        <x:v>48400.00000000001</x:v>
      </x:c>
      <x:c r="J16" s="41" t="n">
        <x:f>IF(E16="Ganho",H16*0.05,I16*0.02)</x:f>
        <x:v>968.0000000000001</x:v>
      </x:c>
      <x:c r="K16" s="9"/>
      <x:c r="L16" s="9"/>
    </x:row>
    <x:row r="17">
      <x:c r="A17" s="34" t="str">
        <x:v>D-012</x:v>
      </x:c>
      <x:c r="B17" s="9" t="str">
        <x:v>Lume Solar</x:v>
      </x:c>
      <x:c r="C17" s="9" t="str">
        <x:v>Energia</x:v>
      </x:c>
      <x:c r="D17" s="9" t="str">
        <x:v>Luan</x:v>
      </x:c>
      <x:c r="E17" s="9" t="str">
        <x:v>Aberto</x:v>
      </x:c>
      <x:c r="F17" s="39" t="n">
        <x:v>46545</x:v>
      </x:c>
      <x:c r="G17" s="40" t="n">
        <x:v>0.1</x:v>
      </x:c>
      <x:c r="H17" s="30" t="n">
        <x:v>105000</x:v>
      </x:c>
      <x:c r="I17" s="30" t="n">
        <x:f>H17*G17</x:f>
        <x:v>10500</x:v>
      </x:c>
      <x:c r="J17" s="41" t="n">
        <x:f>IF(E17="Ganho",H17*0.05,I17*0.02)</x:f>
        <x:v>210</x:v>
      </x:c>
      <x:c r="K17" s="9"/>
      <x:c r="L17" s="9"/>
    </x:row>
    <x:row r="18">
      <x:c r="A18" s="34" t="str">
        <x:v>D-013</x:v>
      </x:c>
      <x:c r="B18" s="9" t="str">
        <x:v>Ponte Tech</x:v>
      </x:c>
      <x:c r="C18" s="9" t="str">
        <x:v>SaaS</x:v>
      </x:c>
      <x:c r="D18" s="9" t="str">
        <x:v>Ana</x:v>
      </x:c>
      <x:c r="E18" s="9" t="str">
        <x:v>Ganho</x:v>
      </x:c>
      <x:c r="F18" s="39" t="n">
        <x:v>46419</x:v>
      </x:c>
      <x:c r="G18" s="40" t="n">
        <x:v>1</x:v>
      </x:c>
      <x:c r="H18" s="30" t="n">
        <x:v>132000</x:v>
      </x:c>
      <x:c r="I18" s="30" t="n">
        <x:f>H18*G18</x:f>
        <x:v>132000</x:v>
      </x:c>
      <x:c r="J18" s="41" t="n">
        <x:f>IF(E18="Ganho",H18*0.05,I18*0.02)</x:f>
        <x:v>6600</x:v>
      </x:c>
      <x:c r="K18" s="9"/>
      <x:c r="L18" s="9"/>
    </x:row>
    <x:row r="19">
      <x:c r="A19" s="34" t="str">
        <x:v>D-014</x:v>
      </x:c>
      <x:c r="B19" s="9" t="str">
        <x:v>Rota Sul</x:v>
      </x:c>
      <x:c r="C19" s="9" t="str">
        <x:v>Logística</x:v>
      </x:c>
      <x:c r="D19" s="9" t="str">
        <x:v>Luan</x:v>
      </x:c>
      <x:c r="E19" s="9" t="str">
        <x:v>Qualificação</x:v>
      </x:c>
      <x:c r="F19" s="39" t="n">
        <x:v>46553</x:v>
      </x:c>
      <x:c r="G19" s="40" t="n">
        <x:v>0.3</x:v>
      </x:c>
      <x:c r="H19" s="30" t="n">
        <x:v>68000</x:v>
      </x:c>
      <x:c r="I19" s="30" t="n">
        <x:f>H19*G19</x:f>
        <x:v>20400</x:v>
      </x:c>
      <x:c r="J19" s="41" t="n">
        <x:f>IF(E19="Ganho",H19*0.05,I19*0.02)</x:f>
        <x:v>408</x:v>
      </x:c>
      <x:c r="K19" s="9"/>
      <x:c r="L19" s="9"/>
    </x:row>
    <x:row r="20">
      <x:c r="A20" s="34" t="str">
        <x:v>D-015</x:v>
      </x:c>
      <x:c r="B20" s="9" t="str">
        <x:v>Mosaico</x:v>
      </x:c>
      <x:c r="C20" s="9" t="str">
        <x:v>Varejo</x:v>
      </x:c>
      <x:c r="D20" s="9" t="str">
        <x:v>Ana</x:v>
      </x:c>
      <x:c r="E20" s="9" t="str">
        <x:v>Proposta</x:v>
      </x:c>
      <x:c r="F20" s="39" t="n">
        <x:v>46527</x:v>
      </x:c>
      <x:c r="G20" s="40" t="n">
        <x:v>0.68</x:v>
      </x:c>
      <x:c r="H20" s="30" t="n">
        <x:v>99000</x:v>
      </x:c>
      <x:c r="I20" s="30" t="n">
        <x:f>H20*G20</x:f>
        <x:v>67320</x:v>
      </x:c>
      <x:c r="J20" s="41" t="n">
        <x:f>IF(E20="Ganho",H20*0.05,I20*0.02)</x:f>
        <x:v>1346.4</x:v>
      </x:c>
      <x:c r="K20" s="9"/>
      <x:c r="L20" s="9"/>
    </x:row>
    <x:row r="21">
      <x:c r="A21" s="36" t="str">
        <x:v>D-016</x:v>
      </x:c>
      <x:c r="B21" s="42" t="str">
        <x:v>Cubo Contábil</x:v>
      </x:c>
      <x:c r="C21" s="42" t="str">
        <x:v>Serviços</x:v>
      </x:c>
      <x:c r="D21" s="42" t="str">
        <x:v>Luan</x:v>
      </x:c>
      <x:c r="E21" s="42" t="str">
        <x:v>Aberto</x:v>
      </x:c>
      <x:c r="F21" s="43" t="n">
        <x:v>46569</x:v>
      </x:c>
      <x:c r="G21" s="44" t="n">
        <x:v>0.12</x:v>
      </x:c>
      <x:c r="H21" s="37" t="n">
        <x:v>52000</x:v>
      </x:c>
      <x:c r="I21" s="37" t="n">
        <x:f>H21*G21</x:f>
        <x:v>6240</x:v>
      </x:c>
      <x:c r="J21" s="45" t="n">
        <x:f>IF(E21="Ganho",H21*0.05,I21*0.02)</x:f>
        <x:v>124.8</x:v>
      </x:c>
      <x:c r="K21" s="9"/>
      <x:c r="L21" s="9"/>
    </x:row>
    <x:row r="22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</x:row>
    <x:row r="23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</x:row>
    <x:row r="24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</x:row>
    <x:row r="26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</x:row>
    <x:row r="27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</x:row>
    <x:row r="28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</x:row>
    <x:row r="29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</x:row>
    <x:row r="30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</x:row>
    <x:row r="3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</x:row>
  </x:sheetData>
  <x:mergeCells>
    <x:mergeCell ref="A1:L1"/>
    <x:mergeCell ref="A2:L2"/>
  </x:mergeCells>
  <x:conditionalFormatting sqref="E6:E21">
    <x:cfRule type="containsText" dxfId="0" priority="1" operator="containsText" text="Ganho"/>
    <x:cfRule type="containsText" dxfId="1" priority="2" operator="containsText" text="Proposta"/>
  </x:conditionalFormatting>
  <x:dataValidations count="1">
    <x:dataValidation type="list" sqref="E6:E21">
      <x:formula1>"Aberto,Qualificação,Proposta,Ganho,Perdido"</x:formula1>
    </x:dataValidation>
  </x:dataValidations>
  <x:pageMargins left="0.7" right="0.7" top="0.75" bottom="0.75" header="0.3" footer="0.3"/>
</x:worksheet>
</file>