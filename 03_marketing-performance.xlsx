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123a292a7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e4bb14ef2546cc"/>
    <x:sheet xmlns:r="http://schemas.openxmlformats.org/officeDocument/2006/relationships" name="Campaigns" sheetId="2" r:id="R3a73ba816f3d41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R$&quot;#,##0"/>
    <x:numFmt numFmtId="201" formatCode="#,##0"/>
    <x:numFmt numFmtId="202" formatCode="0.0x"/>
    <x:numFmt numFmtId="203" formatCode="dd-mmm-yy"/>
  </x:numFmts>
  <x:fonts count="10">
    <x:font>
      <x:sz val="11"/>
      <x:name val="Carlito"/>
    </x:font>
    <x:font>
      <x:b/>
      <x:sz val="15"/>
      <x:color rgb="FF17324D"/>
      <x:name val="Arial"/>
    </x:font>
    <x:font>
      <x:i/>
      <x:sz val="9"/>
      <x:color rgb="FF667085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9"/>
      <x:color rgb="FF475467"/>
      <x:name val="Arial"/>
    </x:font>
    <x:font>
      <x:b/>
      <x:sz val="14"/>
      <x:color rgb="FF17324D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4F6F8"/>
      </x:patternFill>
    </x:fill>
    <x:fill>
      <x:patternFill patternType="solid">
        <x:fgColor rgb="FFFFFFFF"/>
      </x:patternFill>
    </x:fill>
    <x:fill>
      <x:patternFill patternType="solid">
        <x:fgColor rgb="FFDFF3F0"/>
      </x:patternFill>
    </x:fill>
    <x:fill>
      <x:patternFill patternType="solid">
        <x:fgColor rgb="FF17324D"/>
      </x:patternFill>
    </x:fill>
  </x:fills>
  <x:borders count="14">
    <x:border/>
    <x:border>
      <x:bottom style="thin">
        <x:color rgb="FF1F6E8C"/>
      </x:bottom>
    </x:border>
    <x:border>
      <x:bottom style="medium">
        <x:color rgb="FF2C9C95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D9E2EA"/>
      </x:left>
      <x:top style="thin">
        <x:color rgb="FFD9E2EA"/>
      </x:top>
      <x:bottom style="thin">
        <x:color rgb="FF17324D"/>
      </x:bottom>
    </x:border>
    <x:border>
      <x:top style="thin">
        <x:color rgb="FFD9E2EA"/>
      </x:top>
      <x:bottom style="thin">
        <x:color rgb="FF17324D"/>
      </x:bottom>
    </x:border>
    <x:border>
      <x:right style="thin">
        <x:color rgb="FFD9E2EA"/>
      </x:right>
      <x:top style="thin">
        <x:color rgb="FFD9E2EA"/>
      </x:top>
      <x:bottom style="thin">
        <x:color rgb="FF17324D"/>
      </x:bottom>
    </x:border>
    <x:border>
      <x:left style="thin">
        <x:color rgb="FFD9E2EA"/>
      </x:left>
    </x:border>
    <x:border>
      <x:right style="thin">
        <x:color rgb="FFD9E2EA"/>
      </x:right>
    </x:border>
    <x:border>
      <x:left style="thin">
        <x:color rgb="FFD9E2EA"/>
      </x:left>
      <x:bottom style="thin">
        <x:color rgb="FFD9E2EA"/>
      </x:bottom>
    </x:border>
    <x:border>
      <x:bottom style="thin">
        <x:color rgb="FFD9E2EA"/>
      </x:bottom>
    </x:border>
    <x:border>
      <x:right style="thin">
        <x:color rgb="FFD9E2EA"/>
      </x:right>
      <x:bottom style="thin">
        <x:color rgb="FFD9E2EA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2" xfId="0" applyNumberFormat="1" applyFont="1" applyFill="1" applyBorder="1" applyAlignment="1">
      <x:alignment vertical="center"/>
    </x:xf>
    <x:xf numFmtId="200" fontId="7" fillId="3" borderId="2" xfId="0" applyNumberFormat="1" applyFont="1" applyFill="1" applyBorder="1" applyAlignment="1">
      <x:alignment vertical="center"/>
    </x:xf>
    <x:xf numFmtId="200" fontId="7" fillId="3" borderId="2" xfId="0" applyNumberFormat="1" applyFont="1" applyFill="1" applyBorder="1" applyAlignment="1">
      <x:alignment horizontal="center" vertical="center"/>
    </x:xf>
    <x:xf numFmtId="201" fontId="7" fillId="3" borderId="2" xfId="0" applyNumberFormat="1" applyFont="1" applyFill="1" applyBorder="1" applyAlignment="1">
      <x:alignment vertical="center"/>
    </x:xf>
    <x:xf numFmtId="201" fontId="7" fillId="3" borderId="2" xfId="0" applyNumberFormat="1" applyFont="1" applyFill="1" applyBorder="1" applyAlignment="1">
      <x:alignment horizontal="center" vertical="center"/>
    </x:xf>
    <x:xf numFmtId="202" fontId="7" fillId="3" borderId="2" xfId="0" applyNumberFormat="1" applyFont="1" applyFill="1" applyBorder="1" applyAlignment="1">
      <x:alignment vertical="center"/>
    </x:xf>
    <x:xf numFmtId="202" fontId="7" fillId="3" borderId="2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3" xfId="0" applyNumberFormat="1" applyFont="1" applyFill="1" applyBorder="1" applyAlignment="1">
      <x:alignment horizontal="center" vertical="center"/>
    </x:xf>
    <x:xf numFmtId="0" fontId="9" fillId="5" borderId="4" xfId="0" applyNumberFormat="1" applyFont="1" applyFill="1" applyBorder="1" applyAlignment="1">
      <x:alignment horizontal="center" vertical="center"/>
    </x:xf>
    <x:xf numFmtId="0" fontId="9" fillId="5" borderId="5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0" fontId="9" fillId="5" borderId="6" xfId="0" applyNumberFormat="1" applyFont="1" applyFill="1" applyBorder="1" applyAlignment="1">
      <x:alignment horizontal="center" vertical="center"/>
    </x:xf>
    <x:xf numFmtId="0" fontId="9" fillId="5" borderId="7" xfId="0" applyNumberFormat="1" applyFont="1" applyFill="1" applyBorder="1" applyAlignment="1">
      <x:alignment horizontal="center" vertical="center"/>
    </x:xf>
    <x:xf numFmtId="0" fontId="9" fillId="5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200" fontId="4" fillId="0" borderId="12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200" fontId="4" fillId="0" borderId="13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9" xfId="0" applyNumberFormat="1" applyFont="1" applyFill="1" applyBorder="1" applyAlignment="1">
      <x:alignment vertical="center"/>
    </x:xf>
    <x:xf numFmtId="203" fontId="4" fillId="0" borderId="1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4344c6dea4039" /><Relationship Type="http://schemas.openxmlformats.org/officeDocument/2006/relationships/theme" Target="/xl/theme/theme1.xml" Id="Rfc274b6afa704fc9" /><Relationship Type="http://schemas.openxmlformats.org/officeDocument/2006/relationships/sharedStrings" Target="/xl/sharedStrings.xml" Id="R5854dae72a174d95" /><Relationship Type="http://schemas.openxmlformats.org/officeDocument/2006/relationships/worksheet" Target="/xl/worksheets/sheet1.xml" Id="Rf0e4bb14ef2546cc" /><Relationship Type="http://schemas.openxmlformats.org/officeDocument/2006/relationships/worksheet" Target="/xl/worksheets/sheet2.xml" Id="R3a73ba816f3d41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9bdec709b143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Investimento por canal (R$)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Investimento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"R$"#,##0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9bdec709b1437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98fd32dccc491d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>
      <x:c r="A1" s="5" t="str">
        <x:v>Marketing Performance Dashboard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2" customHeight="1">
      <x:c r="A2" s="10" t="str">
        <x:v>Monitoramento de campanhas, geração de leads e retorno | Dados fictícios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>
      <x:c r="A5" s="14" t="str">
        <x:v>Investimento</x:v>
      </x:c>
      <x:c r="B5" s="9"/>
      <x:c r="C5" s="14" t="str">
        <x:v>Leads</x:v>
      </x:c>
      <x:c r="D5" s="9"/>
      <x:c r="E5" s="14" t="str">
        <x:v>Custo por lead</x:v>
      </x:c>
      <x:c r="F5" s="9"/>
      <x:c r="G5" s="14" t="str">
        <x:v>ROAS</x:v>
      </x:c>
      <x:c r="H5" s="9"/>
      <x:c r="I5" s="9"/>
      <x:c r="J5" s="9"/>
      <x:c r="K5" s="9"/>
      <x:c r="L5" s="9"/>
    </x:row>
    <x:row r="6">
      <x:c r="A6" s="19" t="n">
        <x:f>SUM(Campaigns!E6:E21)</x:f>
        <x:v>76400</x:v>
      </x:c>
      <x:c r="B6" s="9"/>
      <x:c r="C6" s="21" t="n">
        <x:f>SUM(Campaigns!G6:G21)</x:f>
        <x:v>940</x:v>
      </x:c>
      <x:c r="D6" s="9"/>
      <x:c r="E6" s="19" t="n">
        <x:f>A6/C6</x:f>
        <x:v>81.27659574468085</x:v>
      </x:c>
      <x:c r="F6" s="9"/>
      <x:c r="G6" s="23" t="n">
        <x:f>SUM(Campaigns!J6:J21)/A6</x:f>
        <x:v>4.9109947643979055</x:v>
      </x:c>
      <x:c r="H6" s="9"/>
      <x:c r="I6" s="9"/>
      <x:c r="J6" s="9"/>
      <x:c r="K6" s="9"/>
      <x:c r="L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</x:row>
    <x:row r="9">
      <x:c r="A9" s="25" t="str">
        <x:v>Desempenho por canal</x:v>
      </x:c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</x:row>
    <x:row r="10">
      <x:c r="A10" s="33" t="str">
        <x:v>Canal</x:v>
      </x:c>
      <x:c r="B10" s="34" t="str">
        <x:v>Investimento</x:v>
      </x:c>
      <x:c r="C10" s="34" t="str">
        <x:v>Leads</x:v>
      </x:c>
      <x:c r="D10" s="34" t="str">
        <x:v>CPL</x:v>
      </x:c>
      <x:c r="E10" s="35" t="str">
        <x:v>Receita atribuída</x:v>
      </x:c>
      <x:c r="F10" s="9"/>
      <x:c r="G10" s="9"/>
      <x:c r="H10" s="9"/>
      <x:c r="I10" s="9"/>
      <x:c r="J10" s="9"/>
      <x:c r="K10" s="9"/>
      <x:c r="L10" s="9"/>
    </x:row>
    <x:row r="11">
      <x:c r="A11" s="36" t="str">
        <x:v>Google Ads</x:v>
      </x:c>
      <x:c r="B11" s="32" t="n">
        <x:f>SUMIFS(Campaigns!$E$6:$E$21,Campaigns!$C$6:$C$21,A11)</x:f>
        <x:v>39400</x:v>
      </x:c>
      <x:c r="C11" s="9" t="n">
        <x:f>SUMIFS(Campaigns!$G$6:$G$21,Campaigns!$C$6:$C$21,A11)</x:f>
        <x:v>612</x:v>
      </x:c>
      <x:c r="D11" s="32" t="n">
        <x:f>B11/C11</x:f>
        <x:v>64.37908496732027</x:v>
      </x:c>
      <x:c r="E11" s="37" t="n">
        <x:f>SUMIFS(Campaigns!$J$6:$J$21,Campaigns!$C$6:$C$21,A11)</x:f>
        <x:v>227200</x:v>
      </x:c>
      <x:c r="F11" s="9"/>
      <x:c r="G11" s="9"/>
      <x:c r="H11" s="9"/>
      <x:c r="I11" s="9"/>
      <x:c r="J11" s="9"/>
      <x:c r="K11" s="9"/>
      <x:c r="L11" s="9"/>
    </x:row>
    <x:row r="12">
      <x:c r="A12" s="36" t="str">
        <x:v>LinkedIn</x:v>
      </x:c>
      <x:c r="B12" s="32" t="n">
        <x:f>SUMIFS(Campaigns!$E$6:$E$21,Campaigns!$C$6:$C$21,A12)</x:f>
        <x:v>20700</x:v>
      </x:c>
      <x:c r="C12" s="9" t="n">
        <x:f>SUMIFS(Campaigns!$G$6:$G$21,Campaigns!$C$6:$C$21,A12)</x:f>
        <x:v>142</x:v>
      </x:c>
      <x:c r="D12" s="32" t="n">
        <x:f>B12/C12</x:f>
        <x:v>145.77464788732394</x:v>
      </x:c>
      <x:c r="E12" s="37" t="n">
        <x:f>SUMIFS(Campaigns!$J$6:$J$21,Campaigns!$C$6:$C$21,A12)</x:f>
        <x:v>83800</x:v>
      </x:c>
      <x:c r="F12" s="9"/>
      <x:c r="G12" s="9"/>
      <x:c r="H12" s="9"/>
      <x:c r="I12" s="9"/>
      <x:c r="J12" s="9"/>
      <x:c r="K12" s="9"/>
      <x:c r="L12" s="9"/>
    </x:row>
    <x:row r="13">
      <x:c r="A13" s="38" t="str">
        <x:v>Meta Ads</x:v>
      </x:c>
      <x:c r="B13" s="39" t="n">
        <x:f>SUMIFS(Campaigns!$E$6:$E$21,Campaigns!$C$6:$C$21,A13)</x:f>
        <x:v>16300</x:v>
      </x:c>
      <x:c r="C13" s="40" t="n">
        <x:f>SUMIFS(Campaigns!$G$6:$G$21,Campaigns!$C$6:$C$21,A13)</x:f>
        <x:v>186</x:v>
      </x:c>
      <x:c r="D13" s="39" t="n">
        <x:f>B13/C13</x:f>
        <x:v>87.63440860215054</x:v>
      </x:c>
      <x:c r="E13" s="41" t="n">
        <x:f>SUMIFS(Campaigns!$J$6:$J$21,Campaigns!$C$6:$C$21,A13)</x:f>
        <x:v>64200</x:v>
      </x:c>
      <x:c r="F13" s="9"/>
      <x:c r="G13" s="9"/>
      <x:c r="H13" s="9"/>
      <x:c r="I13" s="9"/>
      <x:c r="J13" s="9"/>
      <x:c r="K13" s="9"/>
      <x:c r="L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4498fd32dccc491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>
      <x:c r="A1" s="5" t="str">
        <x:v>Campaign Data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2" customHeight="1">
      <x:c r="A2" s="10" t="str">
        <x:v>Dados brutos fictícios. Métricas derivadas por fórmula.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>
      <x:c r="A5" s="33" t="str">
        <x:v>Semana</x:v>
      </x:c>
      <x:c r="B5" s="34" t="str">
        <x:v>Campanha</x:v>
      </x:c>
      <x:c r="C5" s="34" t="str">
        <x:v>Canal</x:v>
      </x:c>
      <x:c r="D5" s="34" t="str">
        <x:v>Objetivo</x:v>
      </x:c>
      <x:c r="E5" s="34" t="str">
        <x:v>Investimento</x:v>
      </x:c>
      <x:c r="F5" s="34" t="str">
        <x:v>Cliques</x:v>
      </x:c>
      <x:c r="G5" s="34" t="str">
        <x:v>Leads</x:v>
      </x:c>
      <x:c r="H5" s="34" t="str">
        <x:v>CPC</x:v>
      </x:c>
      <x:c r="I5" s="34" t="str">
        <x:v>CPL</x:v>
      </x:c>
      <x:c r="J5" s="35" t="str">
        <x:v>Receita atribuída</x:v>
      </x:c>
      <x:c r="K5" s="9"/>
      <x:c r="L5" s="9"/>
    </x:row>
    <x:row r="6">
      <x:c r="A6" s="43" t="n">
        <x:v>46389</x:v>
      </x:c>
      <x:c r="B6" s="9" t="str">
        <x:v>Search Scale</x:v>
      </x:c>
      <x:c r="C6" s="9" t="str">
        <x:v>Google Ads</x:v>
      </x:c>
      <x:c r="D6" s="9" t="str">
        <x:v>Captação</x:v>
      </x:c>
      <x:c r="E6" s="32" t="n">
        <x:v>6200</x:v>
      </x:c>
      <x:c r="F6" s="9" t="n">
        <x:v>780</x:v>
      </x:c>
      <x:c r="G6" s="9" t="n">
        <x:v>76</x:v>
      </x:c>
      <x:c r="H6" s="32" t="n">
        <x:f>E6/F6</x:f>
        <x:v>7.948717948717949</x:v>
      </x:c>
      <x:c r="I6" s="32" t="n">
        <x:f>E6/G6</x:f>
        <x:v>81.57894736842105</x:v>
      </x:c>
      <x:c r="J6" s="37" t="n">
        <x:v>28500</x:v>
      </x:c>
      <x:c r="K6" s="9"/>
      <x:c r="L6" s="9"/>
    </x:row>
    <x:row r="7">
      <x:c r="A7" s="43" t="n">
        <x:v>46389</x:v>
      </x:c>
      <x:c r="B7" s="9" t="str">
        <x:v>Demand Gen</x:v>
      </x:c>
      <x:c r="C7" s="9" t="str">
        <x:v>LinkedIn</x:v>
      </x:c>
      <x:c r="D7" s="9" t="str">
        <x:v>Captação</x:v>
      </x:c>
      <x:c r="E7" s="32" t="n">
        <x:v>4800</x:v>
      </x:c>
      <x:c r="F7" s="9" t="n">
        <x:v>310</x:v>
      </x:c>
      <x:c r="G7" s="9" t="n">
        <x:v>31</x:v>
      </x:c>
      <x:c r="H7" s="32" t="n">
        <x:f>E7/F7</x:f>
        <x:v>15.483870967741936</x:v>
      </x:c>
      <x:c r="I7" s="32" t="n">
        <x:f>E7/G7</x:f>
        <x:v>154.83870967741936</x:v>
      </x:c>
      <x:c r="J7" s="37" t="n">
        <x:v>19600</x:v>
      </x:c>
      <x:c r="K7" s="9"/>
      <x:c r="L7" s="9"/>
    </x:row>
    <x:row r="8">
      <x:c r="A8" s="43" t="n">
        <x:v>46389</x:v>
      </x:c>
      <x:c r="B8" s="9" t="str">
        <x:v>Remarketing</x:v>
      </x:c>
      <x:c r="C8" s="9" t="str">
        <x:v>Meta Ads</x:v>
      </x:c>
      <x:c r="D8" s="9" t="str">
        <x:v>Conversão</x:v>
      </x:c>
      <x:c r="E8" s="32" t="n">
        <x:v>3700</x:v>
      </x:c>
      <x:c r="F8" s="9" t="n">
        <x:v>530</x:v>
      </x:c>
      <x:c r="G8" s="9" t="n">
        <x:v>42</x:v>
      </x:c>
      <x:c r="H8" s="32" t="n">
        <x:f>E8/F8</x:f>
        <x:v>6.981132075471698</x:v>
      </x:c>
      <x:c r="I8" s="32" t="n">
        <x:f>E8/G8</x:f>
        <x:v>88.0952380952381</x:v>
      </x:c>
      <x:c r="J8" s="37" t="n">
        <x:v>14700</x:v>
      </x:c>
      <x:c r="K8" s="9"/>
      <x:c r="L8" s="9"/>
    </x:row>
    <x:row r="9">
      <x:c r="A9" s="43" t="n">
        <x:v>46389</x:v>
      </x:c>
      <x:c r="B9" s="9" t="str">
        <x:v>Search Brand</x:v>
      </x:c>
      <x:c r="C9" s="9" t="str">
        <x:v>Google Ads</x:v>
      </x:c>
      <x:c r="D9" s="9" t="str">
        <x:v>Conversão</x:v>
      </x:c>
      <x:c r="E9" s="32" t="n">
        <x:v>2900</x:v>
      </x:c>
      <x:c r="F9" s="9" t="n">
        <x:v>520</x:v>
      </x:c>
      <x:c r="G9" s="9" t="n">
        <x:v>68</x:v>
      </x:c>
      <x:c r="H9" s="32" t="n">
        <x:f>E9/F9</x:f>
        <x:v>5.576923076923077</x:v>
      </x:c>
      <x:c r="I9" s="32" t="n">
        <x:f>E9/G9</x:f>
        <x:v>42.64705882352941</x:v>
      </x:c>
      <x:c r="J9" s="37" t="n">
        <x:v>25600</x:v>
      </x:c>
      <x:c r="K9" s="9"/>
      <x:c r="L9" s="9"/>
    </x:row>
    <x:row r="10">
      <x:c r="A10" s="43" t="n">
        <x:v>46396</x:v>
      </x:c>
      <x:c r="B10" s="9" t="str">
        <x:v>Search Scale</x:v>
      </x:c>
      <x:c r="C10" s="9" t="str">
        <x:v>Google Ads</x:v>
      </x:c>
      <x:c r="D10" s="9" t="str">
        <x:v>Captação</x:v>
      </x:c>
      <x:c r="E10" s="32" t="n">
        <x:v>6450</x:v>
      </x:c>
      <x:c r="F10" s="9" t="n">
        <x:v>798</x:v>
      </x:c>
      <x:c r="G10" s="9" t="n">
        <x:v>79</x:v>
      </x:c>
      <x:c r="H10" s="32" t="n">
        <x:f>E10/F10</x:f>
        <x:v>8.082706766917294</x:v>
      </x:c>
      <x:c r="I10" s="32" t="n">
        <x:f>E10/G10</x:f>
        <x:v>81.64556962025317</x:v>
      </x:c>
      <x:c r="J10" s="37" t="n">
        <x:v>29400</x:v>
      </x:c>
      <x:c r="K10" s="9"/>
      <x:c r="L10" s="9"/>
    </x:row>
    <x:row r="11">
      <x:c r="A11" s="43" t="n">
        <x:v>46396</x:v>
      </x:c>
      <x:c r="B11" s="9" t="str">
        <x:v>Demand Gen</x:v>
      </x:c>
      <x:c r="C11" s="9" t="str">
        <x:v>LinkedIn</x:v>
      </x:c>
      <x:c r="D11" s="9" t="str">
        <x:v>Captação</x:v>
      </x:c>
      <x:c r="E11" s="32" t="n">
        <x:v>5050</x:v>
      </x:c>
      <x:c r="F11" s="9" t="n">
        <x:v>328</x:v>
      </x:c>
      <x:c r="G11" s="9" t="n">
        <x:v>34</x:v>
      </x:c>
      <x:c r="H11" s="32" t="n">
        <x:f>E11/F11</x:f>
        <x:v>15.396341463414634</x:v>
      </x:c>
      <x:c r="I11" s="32" t="n">
        <x:f>E11/G11</x:f>
        <x:v>148.52941176470588</x:v>
      </x:c>
      <x:c r="J11" s="37" t="n">
        <x:v>20500</x:v>
      </x:c>
      <x:c r="K11" s="9"/>
      <x:c r="L11" s="9"/>
    </x:row>
    <x:row r="12">
      <x:c r="A12" s="43" t="n">
        <x:v>46396</x:v>
      </x:c>
      <x:c r="B12" s="9" t="str">
        <x:v>Remarketing</x:v>
      </x:c>
      <x:c r="C12" s="9" t="str">
        <x:v>Meta Ads</x:v>
      </x:c>
      <x:c r="D12" s="9" t="str">
        <x:v>Conversão</x:v>
      </x:c>
      <x:c r="E12" s="32" t="n">
        <x:v>3950</x:v>
      </x:c>
      <x:c r="F12" s="9" t="n">
        <x:v>548</x:v>
      </x:c>
      <x:c r="G12" s="9" t="n">
        <x:v>45</x:v>
      </x:c>
      <x:c r="H12" s="32" t="n">
        <x:f>E12/F12</x:f>
        <x:v>7.208029197080292</x:v>
      </x:c>
      <x:c r="I12" s="32" t="n">
        <x:f>E12/G12</x:f>
        <x:v>87.77777777777777</x:v>
      </x:c>
      <x:c r="J12" s="37" t="n">
        <x:v>15600</x:v>
      </x:c>
      <x:c r="K12" s="9"/>
      <x:c r="L12" s="9"/>
    </x:row>
    <x:row r="13">
      <x:c r="A13" s="43" t="n">
        <x:v>46396</x:v>
      </x:c>
      <x:c r="B13" s="9" t="str">
        <x:v>Search Brand</x:v>
      </x:c>
      <x:c r="C13" s="9" t="str">
        <x:v>Google Ads</x:v>
      </x:c>
      <x:c r="D13" s="9" t="str">
        <x:v>Conversão</x:v>
      </x:c>
      <x:c r="E13" s="32" t="n">
        <x:v>3150</x:v>
      </x:c>
      <x:c r="F13" s="9" t="n">
        <x:v>538</x:v>
      </x:c>
      <x:c r="G13" s="9" t="n">
        <x:v>71</x:v>
      </x:c>
      <x:c r="H13" s="32" t="n">
        <x:f>E13/F13</x:f>
        <x:v>5.855018587360595</x:v>
      </x:c>
      <x:c r="I13" s="32" t="n">
        <x:f>E13/G13</x:f>
        <x:v>44.36619718309859</x:v>
      </x:c>
      <x:c r="J13" s="37" t="n">
        <x:v>26500</x:v>
      </x:c>
      <x:c r="K13" s="9"/>
      <x:c r="L13" s="9"/>
    </x:row>
    <x:row r="14">
      <x:c r="A14" s="43" t="n">
        <x:v>46403</x:v>
      </x:c>
      <x:c r="B14" s="9" t="str">
        <x:v>Search Scale</x:v>
      </x:c>
      <x:c r="C14" s="9" t="str">
        <x:v>Google Ads</x:v>
      </x:c>
      <x:c r="D14" s="9" t="str">
        <x:v>Captação</x:v>
      </x:c>
      <x:c r="E14" s="32" t="n">
        <x:v>6700</x:v>
      </x:c>
      <x:c r="F14" s="9" t="n">
        <x:v>816</x:v>
      </x:c>
      <x:c r="G14" s="9" t="n">
        <x:v>82</x:v>
      </x:c>
      <x:c r="H14" s="32" t="n">
        <x:f>E14/F14</x:f>
        <x:v>8.21078431372549</x:v>
      </x:c>
      <x:c r="I14" s="32" t="n">
        <x:f>E14/G14</x:f>
        <x:v>81.70731707317073</x:v>
      </x:c>
      <x:c r="J14" s="37" t="n">
        <x:v>30300</x:v>
      </x:c>
      <x:c r="K14" s="9"/>
      <x:c r="L14" s="9"/>
    </x:row>
    <x:row r="15">
      <x:c r="A15" s="43" t="n">
        <x:v>46403</x:v>
      </x:c>
      <x:c r="B15" s="9" t="str">
        <x:v>Demand Gen</x:v>
      </x:c>
      <x:c r="C15" s="9" t="str">
        <x:v>LinkedIn</x:v>
      </x:c>
      <x:c r="D15" s="9" t="str">
        <x:v>Captação</x:v>
      </x:c>
      <x:c r="E15" s="32" t="n">
        <x:v>5300</x:v>
      </x:c>
      <x:c r="F15" s="9" t="n">
        <x:v>346</x:v>
      </x:c>
      <x:c r="G15" s="9" t="n">
        <x:v>37</x:v>
      </x:c>
      <x:c r="H15" s="32" t="n">
        <x:f>E15/F15</x:f>
        <x:v>15.31791907514451</x:v>
      </x:c>
      <x:c r="I15" s="32" t="n">
        <x:f>E15/G15</x:f>
        <x:v>143.24324324324326</x:v>
      </x:c>
      <x:c r="J15" s="37" t="n">
        <x:v>21400</x:v>
      </x:c>
      <x:c r="K15" s="9"/>
      <x:c r="L15" s="9"/>
    </x:row>
    <x:row r="16">
      <x:c r="A16" s="43" t="n">
        <x:v>46403</x:v>
      </x:c>
      <x:c r="B16" s="9" t="str">
        <x:v>Remarketing</x:v>
      </x:c>
      <x:c r="C16" s="9" t="str">
        <x:v>Meta Ads</x:v>
      </x:c>
      <x:c r="D16" s="9" t="str">
        <x:v>Conversão</x:v>
      </x:c>
      <x:c r="E16" s="32" t="n">
        <x:v>4200</x:v>
      </x:c>
      <x:c r="F16" s="9" t="n">
        <x:v>566</x:v>
      </x:c>
      <x:c r="G16" s="9" t="n">
        <x:v>48</x:v>
      </x:c>
      <x:c r="H16" s="32" t="n">
        <x:f>E16/F16</x:f>
        <x:v>7.420494699646643</x:v>
      </x:c>
      <x:c r="I16" s="32" t="n">
        <x:f>E16/G16</x:f>
        <x:v>87.5</x:v>
      </x:c>
      <x:c r="J16" s="37" t="n">
        <x:v>16500</x:v>
      </x:c>
      <x:c r="K16" s="9"/>
      <x:c r="L16" s="9"/>
    </x:row>
    <x:row r="17">
      <x:c r="A17" s="43" t="n">
        <x:v>46403</x:v>
      </x:c>
      <x:c r="B17" s="9" t="str">
        <x:v>Search Brand</x:v>
      </x:c>
      <x:c r="C17" s="9" t="str">
        <x:v>Google Ads</x:v>
      </x:c>
      <x:c r="D17" s="9" t="str">
        <x:v>Conversão</x:v>
      </x:c>
      <x:c r="E17" s="32" t="n">
        <x:v>3400</x:v>
      </x:c>
      <x:c r="F17" s="9" t="n">
        <x:v>556</x:v>
      </x:c>
      <x:c r="G17" s="9" t="n">
        <x:v>74</x:v>
      </x:c>
      <x:c r="H17" s="32" t="n">
        <x:f>E17/F17</x:f>
        <x:v>6.115107913669065</x:v>
      </x:c>
      <x:c r="I17" s="32" t="n">
        <x:f>E17/G17</x:f>
        <x:v>45.945945945945944</x:v>
      </x:c>
      <x:c r="J17" s="37" t="n">
        <x:v>27400</x:v>
      </x:c>
      <x:c r="K17" s="9"/>
      <x:c r="L17" s="9"/>
    </x:row>
    <x:row r="18">
      <x:c r="A18" s="43" t="n">
        <x:v>46410</x:v>
      </x:c>
      <x:c r="B18" s="9" t="str">
        <x:v>Search Scale</x:v>
      </x:c>
      <x:c r="C18" s="9" t="str">
        <x:v>Google Ads</x:v>
      </x:c>
      <x:c r="D18" s="9" t="str">
        <x:v>Captação</x:v>
      </x:c>
      <x:c r="E18" s="32" t="n">
        <x:v>6950</x:v>
      </x:c>
      <x:c r="F18" s="9" t="n">
        <x:v>834</x:v>
      </x:c>
      <x:c r="G18" s="9" t="n">
        <x:v>85</x:v>
      </x:c>
      <x:c r="H18" s="32" t="n">
        <x:f>E18/F18</x:f>
        <x:v>8.333333333333334</x:v>
      </x:c>
      <x:c r="I18" s="32" t="n">
        <x:f>E18/G18</x:f>
        <x:v>81.76470588235294</x:v>
      </x:c>
      <x:c r="J18" s="37" t="n">
        <x:v>31200</x:v>
      </x:c>
      <x:c r="K18" s="9"/>
      <x:c r="L18" s="9"/>
    </x:row>
    <x:row r="19">
      <x:c r="A19" s="43" t="n">
        <x:v>46410</x:v>
      </x:c>
      <x:c r="B19" s="9" t="str">
        <x:v>Demand Gen</x:v>
      </x:c>
      <x:c r="C19" s="9" t="str">
        <x:v>LinkedIn</x:v>
      </x:c>
      <x:c r="D19" s="9" t="str">
        <x:v>Captação</x:v>
      </x:c>
      <x:c r="E19" s="32" t="n">
        <x:v>5550</x:v>
      </x:c>
      <x:c r="F19" s="9" t="n">
        <x:v>364</x:v>
      </x:c>
      <x:c r="G19" s="9" t="n">
        <x:v>40</x:v>
      </x:c>
      <x:c r="H19" s="32" t="n">
        <x:f>E19/F19</x:f>
        <x:v>15.247252747252746</x:v>
      </x:c>
      <x:c r="I19" s="32" t="n">
        <x:f>E19/G19</x:f>
        <x:v>138.75</x:v>
      </x:c>
      <x:c r="J19" s="37" t="n">
        <x:v>22300</x:v>
      </x:c>
      <x:c r="K19" s="9"/>
      <x:c r="L19" s="9"/>
    </x:row>
    <x:row r="20">
      <x:c r="A20" s="43" t="n">
        <x:v>46410</x:v>
      </x:c>
      <x:c r="B20" s="9" t="str">
        <x:v>Remarketing</x:v>
      </x:c>
      <x:c r="C20" s="9" t="str">
        <x:v>Meta Ads</x:v>
      </x:c>
      <x:c r="D20" s="9" t="str">
        <x:v>Conversão</x:v>
      </x:c>
      <x:c r="E20" s="32" t="n">
        <x:v>4450</x:v>
      </x:c>
      <x:c r="F20" s="9" t="n">
        <x:v>584</x:v>
      </x:c>
      <x:c r="G20" s="9" t="n">
        <x:v>51</x:v>
      </x:c>
      <x:c r="H20" s="32" t="n">
        <x:f>E20/F20</x:f>
        <x:v>7.61986301369863</x:v>
      </x:c>
      <x:c r="I20" s="32" t="n">
        <x:f>E20/G20</x:f>
        <x:v>87.25490196078431</x:v>
      </x:c>
      <x:c r="J20" s="37" t="n">
        <x:v>17400</x:v>
      </x:c>
      <x:c r="K20" s="9"/>
      <x:c r="L20" s="9"/>
    </x:row>
    <x:row r="21">
      <x:c r="A21" s="44" t="n">
        <x:v>46410</x:v>
      </x:c>
      <x:c r="B21" s="40" t="str">
        <x:v>Search Brand</x:v>
      </x:c>
      <x:c r="C21" s="40" t="str">
        <x:v>Google Ads</x:v>
      </x:c>
      <x:c r="D21" s="40" t="str">
        <x:v>Conversão</x:v>
      </x:c>
      <x:c r="E21" s="39" t="n">
        <x:v>3650</x:v>
      </x:c>
      <x:c r="F21" s="40" t="n">
        <x:v>574</x:v>
      </x:c>
      <x:c r="G21" s="40" t="n">
        <x:v>77</x:v>
      </x:c>
      <x:c r="H21" s="39" t="n">
        <x:f>E21/F21</x:f>
        <x:v>6.358885017421603</x:v>
      </x:c>
      <x:c r="I21" s="39" t="n">
        <x:f>E21/G21</x:f>
        <x:v>47.4025974025974</x:v>
      </x:c>
      <x:c r="J21" s="41" t="n">
        <x:v>28300</x:v>
      </x:c>
      <x:c r="K21" s="9"/>
      <x:c r="L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</x:row>
  </x:sheetData>
  <x:mergeCells>
    <x:mergeCell ref="A1:L1"/>
    <x:mergeCell ref="A2:L2"/>
  </x:mergeCells>
  <x:conditionalFormatting sqref="I6:I21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</x:worksheet>
</file>