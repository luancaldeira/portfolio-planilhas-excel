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61ab33bf044cc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bff47dcb7ef249f4"/>
    <x:sheet xmlns:r="http://schemas.openxmlformats.org/officeDocument/2006/relationships" name="Assumptions" sheetId="2" r:id="R1e9898be28634133"/>
    <x:sheet xmlns:r="http://schemas.openxmlformats.org/officeDocument/2006/relationships" name="Forecast" sheetId="3" r:id="R4bf0b1b473ab4454"/>
    <x:sheet xmlns:r="http://schemas.openxmlformats.org/officeDocument/2006/relationships" name="Audit" sheetId="4" r:id="R0ae5fab2c73e462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&quot;R$&quot;#,##0"/>
    <x:numFmt numFmtId="201" formatCode="0.0%"/>
    <x:numFmt numFmtId="202" formatCode="&quot;R$&quot;#,##0;(&quot;R$&quot;#,##0);-"/>
    <x:numFmt numFmtId="203" formatCode="&quot;R$&quot;#,##0.00"/>
  </x:numFmts>
  <x:fonts count="11">
    <x:font>
      <x:sz val="11"/>
      <x:name val="Carlito"/>
    </x:font>
    <x:font>
      <x:b/>
      <x:sz val="15"/>
      <x:color rgb="FF17324D"/>
      <x:name val="Arial"/>
    </x:font>
    <x:font>
      <x:i/>
      <x:sz val="9"/>
      <x:color rgb="FF667085"/>
      <x:name val="Arial"/>
    </x:font>
    <x:font>
      <x:b/>
      <x:sz val="10"/>
      <x:color rgb="FF1F2937"/>
      <x:name val="Arial"/>
    </x:font>
    <x:font>
      <x:sz val="10"/>
      <x:color rgb="FF1F2937"/>
      <x:name val="Arial"/>
    </x:font>
    <x:font>
      <x:i/>
      <x:sz val="10"/>
      <x:color rgb="FF1F2937"/>
      <x:name val="Arial"/>
    </x:font>
    <x:font>
      <x:b/>
      <x:sz val="10"/>
      <x:color rgb="FF17324D"/>
      <x:name val="Arial"/>
    </x:font>
    <x:font>
      <x:b/>
      <x:sz val="9"/>
      <x:color rgb="FF475467"/>
      <x:name val="Arial"/>
    </x:font>
    <x:font>
      <x:b/>
      <x:sz val="14"/>
      <x:color rgb="FF17324D"/>
      <x:name val="Arial"/>
    </x:font>
    <x:font>
      <x:b/>
      <x:sz val="10"/>
      <x:color rgb="FFFFFFFF"/>
      <x:name val="Arial"/>
    </x:font>
    <x:font>
      <x:b/>
      <x:sz val="11"/>
      <x:color rgb="FF1F2937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E2F0D9"/>
      </x:patternFill>
    </x:fill>
    <x:fill>
      <x:patternFill patternType="solid">
        <x:fgColor rgb="FFF4F6F8"/>
      </x:patternFill>
    </x:fill>
    <x:fill>
      <x:patternFill patternType="solid">
        <x:fgColor rgb="FFFFFFFF"/>
      </x:patternFill>
    </x:fill>
    <x:fill>
      <x:patternFill patternType="solid">
        <x:fgColor rgb="FFDFF3F0"/>
      </x:patternFill>
    </x:fill>
    <x:fill>
      <x:patternFill patternType="solid">
        <x:fgColor rgb="FF17324D"/>
      </x:patternFill>
    </x:fill>
    <x:fill>
      <x:patternFill patternType="solid">
        <x:fgColor rgb="FFFFF2CC"/>
      </x:patternFill>
    </x:fill>
  </x:fills>
  <x:borders count="15">
    <x:border/>
    <x:border>
      <x:bottom style="thin">
        <x:color rgb="FF1F6E8C"/>
      </x:bottom>
    </x:border>
    <x:border>
      <x:left style="dashed">
        <x:color rgb="FF2C9C95"/>
      </x:left>
      <x:right style="dashed">
        <x:color rgb="FF2C9C95"/>
      </x:right>
      <x:top style="dashed">
        <x:color rgb="FF2C9C95"/>
      </x:top>
      <x:bottom style="dashed">
        <x:color rgb="FF2C9C95"/>
      </x:bottom>
    </x:border>
    <x:border>
      <x:bottom style="medium">
        <x:color rgb="FF2C9C95"/>
      </x:bottom>
    </x:border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left style="thin">
        <x:color rgb="FFD9E2EA"/>
      </x:left>
      <x:top style="thin">
        <x:color rgb="FFD9E2EA"/>
      </x:top>
      <x:bottom style="thin">
        <x:color rgb="FF17324D"/>
      </x:bottom>
    </x:border>
    <x:border>
      <x:top style="thin">
        <x:color rgb="FFD9E2EA"/>
      </x:top>
      <x:bottom style="thin">
        <x:color rgb="FF17324D"/>
      </x:bottom>
    </x:border>
    <x:border>
      <x:right style="thin">
        <x:color rgb="FFD9E2EA"/>
      </x:right>
      <x:top style="thin">
        <x:color rgb="FFD9E2EA"/>
      </x:top>
      <x:bottom style="thin">
        <x:color rgb="FF17324D"/>
      </x:bottom>
    </x:border>
    <x:border>
      <x:left style="thin">
        <x:color rgb="FFD9E2EA"/>
      </x:left>
    </x:border>
    <x:border>
      <x:right style="thin">
        <x:color rgb="FFD9E2EA"/>
      </x:right>
    </x:border>
    <x:border>
      <x:left style="thin">
        <x:color rgb="FFD9E2EA"/>
      </x:left>
      <x:bottom style="thin">
        <x:color rgb="FFD9E2EA"/>
      </x:bottom>
    </x:border>
    <x:border>
      <x:bottom style="thin">
        <x:color rgb="FFD9E2EA"/>
      </x:bottom>
    </x:border>
    <x:border>
      <x:right style="thin">
        <x:color rgb="FFD9E2EA"/>
      </x:right>
      <x:bottom style="thin">
        <x:color rgb="FFD9E2EA"/>
      </x:bottom>
    </x:border>
  </x:borders>
  <x:cellStyleXfs count="1">
    <x:xf numFmtId="0" fontId="0" fillId="0" borderId="0"/>
  </x:cellStyleXfs>
  <x:cellXfs count="9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0" fillId="0" borderId="1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4" fillId="0" borderId="1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/>
    </x:xf>
    <x:xf numFmtId="0" fontId="6" fillId="2" borderId="2" xfId="0" applyNumberFormat="1" applyFont="1" applyFill="1" applyBorder="1" applyAlignment="1">
      <x:alignment vertical="center"/>
    </x:xf>
    <x:xf numFmtId="0" fontId="6" fillId="2" borderId="2" xfId="0" applyNumberFormat="1" applyFont="1" applyFill="1" applyBorder="1" applyAlignment="1">
      <x:alignment horizontal="center" vertical="center"/>
    </x:xf>
    <x:xf numFmtId="0" fontId="4" fillId="3" borderId="0" xfId="0" applyNumberFormat="1" applyFont="1" applyFill="1" applyBorder="1" applyAlignment="1">
      <x:alignment vertical="center"/>
    </x:xf>
    <x:xf numFmtId="0" fontId="7" fillId="3" borderId="0" xfId="0" applyNumberFormat="1" applyFont="1" applyFill="1" applyBorder="1" applyAlignment="1">
      <x:alignment vertical="center"/>
    </x:xf>
    <x:xf numFmtId="0" fontId="7" fillId="3" borderId="0" xfId="0" applyNumberFormat="1" applyFont="1" applyFill="1" applyBorder="1" applyAlignment="1">
      <x:alignment horizontal="center" vertical="center"/>
    </x:xf>
    <x:xf numFmtId="0" fontId="4" fillId="4" borderId="0" xfId="0" applyNumberFormat="1" applyFont="1" applyFill="1" applyBorder="1" applyAlignment="1">
      <x:alignment vertical="center"/>
    </x:xf>
    <x:xf numFmtId="0" fontId="8" fillId="4" borderId="0" xfId="0" applyNumberFormat="1" applyFont="1" applyFill="1" applyBorder="1" applyAlignment="1">
      <x:alignment vertical="center"/>
    </x:xf>
    <x:xf numFmtId="0" fontId="8" fillId="4" borderId="3" xfId="0" applyNumberFormat="1" applyFont="1" applyFill="1" applyBorder="1" applyAlignment="1">
      <x:alignment vertical="center"/>
    </x:xf>
    <x:xf numFmtId="200" fontId="8" fillId="4" borderId="3" xfId="0" applyNumberFormat="1" applyFont="1" applyFill="1" applyBorder="1" applyAlignment="1">
      <x:alignment vertical="center"/>
    </x:xf>
    <x:xf numFmtId="200" fontId="8" fillId="4" borderId="3" xfId="0" applyNumberFormat="1" applyFont="1" applyFill="1" applyBorder="1" applyAlignment="1">
      <x:alignment horizontal="center" vertical="center"/>
    </x:xf>
    <x:xf numFmtId="201" fontId="8" fillId="4" borderId="3" xfId="0" applyNumberFormat="1" applyFont="1" applyFill="1" applyBorder="1" applyAlignment="1">
      <x:alignment vertical="center"/>
    </x:xf>
    <x:xf numFmtId="201" fontId="8" fillId="4" borderId="3" xfId="0" applyNumberFormat="1" applyFont="1" applyFill="1" applyBorder="1" applyAlignment="1">
      <x:alignment horizontal="center" vertical="center"/>
    </x:xf>
    <x:xf numFmtId="0" fontId="4" fillId="5" borderId="0" xfId="0" applyNumberFormat="1" applyFont="1" applyFill="1" applyBorder="1" applyAlignment="1">
      <x:alignment vertical="center"/>
    </x:xf>
    <x:xf numFmtId="0" fontId="6" fillId="5" borderId="0" xfId="0" applyNumberFormat="1" applyFont="1" applyFill="1" applyBorder="1" applyAlignment="1">
      <x:alignment vertical="center"/>
    </x:xf>
    <x:xf numFmtId="0" fontId="4" fillId="6" borderId="0" xfId="0" applyNumberFormat="1" applyFont="1" applyFill="1" applyBorder="1" applyAlignment="1">
      <x:alignment vertical="center"/>
    </x:xf>
    <x:xf numFmtId="0" fontId="9" fillId="6" borderId="0" xfId="0" applyNumberFormat="1" applyFont="1" applyFill="1" applyBorder="1" applyAlignment="1">
      <x:alignment vertical="center"/>
    </x:xf>
    <x:xf numFmtId="0" fontId="9" fillId="6" borderId="0" xfId="0" applyNumberFormat="1" applyFont="1" applyFill="1" applyBorder="1" applyAlignment="1">
      <x:alignment horizontal="center" vertical="center"/>
    </x:xf>
    <x:xf numFmtId="0" fontId="9" fillId="6" borderId="4" xfId="0" applyNumberFormat="1" applyFont="1" applyFill="1" applyBorder="1" applyAlignment="1">
      <x:alignment horizontal="center" vertical="center"/>
    </x:xf>
    <x:xf numFmtId="0" fontId="9" fillId="6" borderId="5" xfId="0" applyNumberFormat="1" applyFont="1" applyFill="1" applyBorder="1" applyAlignment="1">
      <x:alignment horizontal="center" vertical="center"/>
    </x:xf>
    <x:xf numFmtId="0" fontId="9" fillId="6" borderId="6" xfId="0" applyNumberFormat="1" applyFont="1" applyFill="1" applyBorder="1" applyAlignment="1">
      <x:alignment horizontal="center" vertical="center"/>
    </x:xf>
    <x:xf numFmtId="200" fontId="4" fillId="0" borderId="0" xfId="0" applyNumberFormat="1" applyFont="1" applyFill="1" applyBorder="1" applyAlignment="1">
      <x:alignment vertical="center"/>
    </x:xf>
    <x:xf numFmtId="0" fontId="9" fillId="6" borderId="7" xfId="0" applyNumberFormat="1" applyFont="1" applyFill="1" applyBorder="1" applyAlignment="1">
      <x:alignment horizontal="center" vertical="center"/>
    </x:xf>
    <x:xf numFmtId="0" fontId="9" fillId="6" borderId="8" xfId="0" applyNumberFormat="1" applyFont="1" applyFill="1" applyBorder="1" applyAlignment="1">
      <x:alignment horizontal="center" vertical="center"/>
    </x:xf>
    <x:xf numFmtId="0" fontId="9" fillId="6" borderId="9" xfId="0" applyNumberFormat="1" applyFont="1" applyFill="1" applyBorder="1" applyAlignment="1">
      <x:alignment horizontal="center" vertical="center"/>
    </x:xf>
    <x:xf numFmtId="0" fontId="4" fillId="0" borderId="10" xfId="0" applyNumberFormat="1" applyFont="1" applyFill="1" applyBorder="1" applyAlignment="1">
      <x:alignment vertical="center"/>
    </x:xf>
    <x:xf numFmtId="200" fontId="4" fillId="0" borderId="11" xfId="0" applyNumberFormat="1" applyFont="1" applyFill="1" applyBorder="1" applyAlignment="1">
      <x:alignment vertical="center"/>
    </x:xf>
    <x:xf numFmtId="0" fontId="4" fillId="0" borderId="12" xfId="0" applyNumberFormat="1" applyFont="1" applyFill="1" applyBorder="1" applyAlignment="1">
      <x:alignment vertical="center"/>
    </x:xf>
    <x:xf numFmtId="200" fontId="4" fillId="0" borderId="13" xfId="0" applyNumberFormat="1" applyFont="1" applyFill="1" applyBorder="1" applyAlignment="1">
      <x:alignment vertical="center"/>
    </x:xf>
    <x:xf numFmtId="200" fontId="4" fillId="0" borderId="14" xfId="0" applyNumberFormat="1" applyFont="1" applyFill="1" applyBorder="1" applyAlignment="1">
      <x:alignment vertical="center"/>
    </x:xf>
    <x:xf numFmtId="0" fontId="4" fillId="7" borderId="0" xfId="0" applyNumberFormat="1" applyFont="1" applyFill="1" applyBorder="1" applyAlignment="1">
      <x:alignment vertical="center"/>
    </x:xf>
    <x:xf numFmtId="0" fontId="6" fillId="7" borderId="0" xfId="0" applyNumberFormat="1" applyFont="1" applyFill="1" applyBorder="1" applyAlignment="1">
      <x:alignment vertical="center"/>
    </x:xf>
    <x:xf numFmtId="0" fontId="6" fillId="7" borderId="0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9" fillId="6" borderId="0" xfId="0" applyNumberFormat="1" applyFont="1" applyFill="1" applyBorder="1"/>
    <x:xf numFmtId="0" fontId="9" fillId="6" borderId="0" xfId="0" applyNumberFormat="1" applyFont="1" applyFill="1" applyBorder="1" applyAlignment="1">
      <x:alignment horizontal="center"/>
    </x:xf>
    <x:xf numFmtId="201" fontId="4" fillId="0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/>
    <x:xf numFmtId="200" fontId="0" fillId="0" borderId="0" xfId="0" applyNumberFormat="1" applyFont="1" applyFill="1" applyBorder="1"/>
    <x:xf numFmtId="201" fontId="4" fillId="7" borderId="0" xfId="0" applyNumberFormat="1" applyFont="1" applyFill="1" applyBorder="1" applyAlignment="1">
      <x:alignment vertical="center"/>
    </x:xf>
    <x:xf numFmtId="201" fontId="0" fillId="7" borderId="0" xfId="0" applyNumberFormat="1" applyFont="1" applyFill="1" applyBorder="1"/>
    <x:xf numFmtId="200" fontId="4" fillId="7" borderId="0" xfId="0" applyNumberFormat="1" applyFont="1" applyFill="1" applyBorder="1" applyAlignment="1">
      <x:alignment vertical="center"/>
    </x:xf>
    <x:xf numFmtId="200" fontId="0" fillId="7" borderId="0" xfId="0" applyNumberFormat="1" applyFont="1" applyFill="1" applyBorder="1"/>
    <x:xf numFmtId="201" fontId="0" fillId="7" borderId="11" xfId="0" applyNumberFormat="1" applyFont="1" applyFill="1" applyBorder="1"/>
    <x:xf numFmtId="201" fontId="0" fillId="0" borderId="11" xfId="0" applyNumberFormat="1" applyFont="1" applyFill="1" applyBorder="1"/>
    <x:xf numFmtId="0" fontId="0" fillId="0" borderId="11" xfId="0" applyNumberFormat="1" applyFont="1" applyFill="1" applyBorder="1"/>
    <x:xf numFmtId="200" fontId="0" fillId="7" borderId="11" xfId="0" applyNumberFormat="1" applyFont="1" applyFill="1" applyBorder="1"/>
    <x:xf numFmtId="200" fontId="0" fillId="0" borderId="14" xfId="0" applyNumberFormat="1" applyFont="1" applyFill="1" applyBorder="1"/>
    <x:xf numFmtId="201" fontId="0" fillId="7" borderId="11" xfId="0" applyNumberFormat="1" applyFont="1" applyFill="1" applyBorder="1" applyAlignment="1">
      <x:alignment vertical="center"/>
    </x:xf>
    <x:xf numFmtId="201" fontId="0" fillId="0" borderId="11" xfId="0" applyNumberFormat="1" applyFont="1" applyFill="1" applyBorder="1" applyAlignment="1">
      <x:alignment vertical="center"/>
    </x:xf>
    <x:xf numFmtId="0" fontId="0" fillId="0" borderId="11" xfId="0" applyNumberFormat="1" applyFont="1" applyFill="1" applyBorder="1" applyAlignment="1">
      <x:alignment vertical="center"/>
    </x:xf>
    <x:xf numFmtId="200" fontId="0" fillId="7" borderId="11" xfId="0" applyNumberFormat="1" applyFont="1" applyFill="1" applyBorder="1" applyAlignment="1">
      <x:alignment vertical="center"/>
    </x:xf>
    <x:xf numFmtId="200" fontId="0" fillId="0" borderId="14" xfId="0" applyNumberFormat="1" applyFont="1" applyFill="1" applyBorder="1" applyAlignment="1">
      <x:alignment vertical="center"/>
    </x:xf>
    <x:xf numFmtId="202" fontId="4" fillId="0" borderId="0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/>
    <x:xf numFmtId="202" fontId="3" fillId="0" borderId="0" xfId="0" applyNumberFormat="1" applyFont="1" applyFill="1" applyBorder="1" applyAlignment="1">
      <x:alignment vertical="center"/>
    </x:xf>
    <x:xf numFmtId="202" fontId="10" fillId="0" borderId="0" xfId="0" applyNumberFormat="1" applyFont="1" applyFill="1" applyBorder="1"/>
    <x:xf numFmtId="202" fontId="4" fillId="5" borderId="0" xfId="0" applyNumberFormat="1" applyFont="1" applyFill="1" applyBorder="1" applyAlignment="1">
      <x:alignment vertical="center"/>
    </x:xf>
    <x:xf numFmtId="202" fontId="0" fillId="5" borderId="0" xfId="0" applyNumberFormat="1" applyFont="1" applyFill="1" applyBorder="1"/>
    <x:xf numFmtId="201" fontId="4" fillId="5" borderId="0" xfId="0" applyNumberFormat="1" applyFont="1" applyFill="1" applyBorder="1" applyAlignment="1">
      <x:alignment vertical="center"/>
    </x:xf>
    <x:xf numFmtId="201" fontId="0" fillId="5" borderId="0" xfId="0" applyNumberFormat="1" applyFont="1" applyFill="1" applyBorder="1"/>
    <x:xf numFmtId="202" fontId="4" fillId="2" borderId="0" xfId="0" applyNumberFormat="1" applyFont="1" applyFill="1" applyBorder="1" applyAlignment="1">
      <x:alignment vertical="center"/>
    </x:xf>
    <x:xf numFmtId="202" fontId="0" fillId="2" borderId="0" xfId="0" applyNumberFormat="1" applyFont="1" applyFill="1" applyBorder="1"/>
    <x:xf numFmtId="202" fontId="0" fillId="0" borderId="11" xfId="0" applyNumberFormat="1" applyFont="1" applyFill="1" applyBorder="1"/>
    <x:xf numFmtId="0" fontId="3" fillId="0" borderId="10" xfId="0" applyNumberFormat="1" applyFont="1" applyFill="1" applyBorder="1" applyAlignment="1">
      <x:alignment vertical="center"/>
    </x:xf>
    <x:xf numFmtId="202" fontId="10" fillId="0" borderId="11" xfId="0" applyNumberFormat="1" applyFont="1" applyFill="1" applyBorder="1"/>
    <x:xf numFmtId="0" fontId="4" fillId="5" borderId="10" xfId="0" applyNumberFormat="1" applyFont="1" applyFill="1" applyBorder="1" applyAlignment="1">
      <x:alignment vertical="center"/>
    </x:xf>
    <x:xf numFmtId="202" fontId="0" fillId="5" borderId="11" xfId="0" applyNumberFormat="1" applyFont="1" applyFill="1" applyBorder="1"/>
    <x:xf numFmtId="201" fontId="0" fillId="5" borderId="11" xfId="0" applyNumberFormat="1" applyFont="1" applyFill="1" applyBorder="1"/>
    <x:xf numFmtId="0" fontId="4" fillId="2" borderId="12" xfId="0" applyNumberFormat="1" applyFont="1" applyFill="1" applyBorder="1" applyAlignment="1">
      <x:alignment vertical="center"/>
    </x:xf>
    <x:xf numFmtId="202" fontId="4" fillId="2" borderId="13" xfId="0" applyNumberFormat="1" applyFont="1" applyFill="1" applyBorder="1" applyAlignment="1">
      <x:alignment vertical="center"/>
    </x:xf>
    <x:xf numFmtId="202" fontId="0" fillId="2" borderId="14" xfId="0" applyNumberFormat="1" applyFont="1" applyFill="1" applyBorder="1"/>
    <x:xf numFmtId="202" fontId="0" fillId="0" borderId="11" xfId="0" applyNumberFormat="1" applyFont="1" applyFill="1" applyBorder="1" applyAlignment="1">
      <x:alignment vertical="center"/>
    </x:xf>
    <x:xf numFmtId="202" fontId="10" fillId="0" borderId="11" xfId="0" applyNumberFormat="1" applyFont="1" applyFill="1" applyBorder="1" applyAlignment="1">
      <x:alignment vertical="center"/>
    </x:xf>
    <x:xf numFmtId="202" fontId="0" fillId="5" borderId="11" xfId="0" applyNumberFormat="1" applyFont="1" applyFill="1" applyBorder="1" applyAlignment="1">
      <x:alignment vertical="center"/>
    </x:xf>
    <x:xf numFmtId="201" fontId="0" fillId="5" borderId="11" xfId="0" applyNumberFormat="1" applyFont="1" applyFill="1" applyBorder="1" applyAlignment="1">
      <x:alignment vertical="center"/>
    </x:xf>
    <x:xf numFmtId="202" fontId="0" fillId="2" borderId="14" xfId="0" applyNumberFormat="1" applyFont="1" applyFill="1" applyBorder="1" applyAlignment="1">
      <x:alignment vertical="center"/>
    </x:xf>
    <x:xf numFmtId="203" fontId="4" fillId="0" borderId="0" xfId="0" applyNumberFormat="1" applyFont="1" applyFill="1" applyBorder="1" applyAlignment="1">
      <x:alignment vertical="center"/>
    </x:xf>
    <x:xf numFmtId="0" fontId="4" fillId="0" borderId="11" xfId="0" applyNumberFormat="1" applyFont="1" applyFill="1" applyBorder="1" applyAlignment="1">
      <x:alignment vertical="center"/>
    </x:xf>
    <x:xf numFmtId="203" fontId="4" fillId="0" borderId="13" xfId="0" applyNumberFormat="1" applyFont="1" applyFill="1" applyBorder="1" applyAlignment="1">
      <x:alignment vertical="center"/>
    </x:xf>
    <x:xf numFmtId="0" fontId="4" fillId="0" borderId="14" xfId="0" applyNumberFormat="1" applyFont="1" applyFill="1" applyBorder="1" applyAlignment="1">
      <x:alignment vertical="center"/>
    </x:xf>
  </x:cellXfs>
  <x:cellStyles count="1">
    <x:cellStyle name="Normal" xfId="0"/>
  </x:cellStyles>
  <x:dxfs count="1">
    <x:dxf>
      <x:font>
        <x:b/>
        <x:color rgb="FF9C0006"/>
      </x:font>
      <x:fill>
        <x:patternFill patternType="solid">
          <x:bgColor rgb="FFF8CBAD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635da8feb724947" /><Relationship Type="http://schemas.openxmlformats.org/officeDocument/2006/relationships/theme" Target="/xl/theme/theme1.xml" Id="Rb659421c6edb46eb" /><Relationship Type="http://schemas.openxmlformats.org/officeDocument/2006/relationships/sharedStrings" Target="/xl/sharedStrings.xml" Id="R606f44c2a2464430" /><Relationship Type="http://schemas.openxmlformats.org/officeDocument/2006/relationships/worksheet" Target="/xl/worksheets/sheet1.xml" Id="Rbff47dcb7ef249f4" /><Relationship Type="http://schemas.openxmlformats.org/officeDocument/2006/relationships/worksheet" Target="/xl/worksheets/sheet2.xml" Id="R1e9898be28634133" /><Relationship Type="http://schemas.openxmlformats.org/officeDocument/2006/relationships/worksheet" Target="/xl/worksheets/sheet3.xml" Id="R4bf0b1b473ab4454" /><Relationship Type="http://schemas.openxmlformats.org/officeDocument/2006/relationships/worksheet" Target="/xl/worksheets/sheet4.xml" Id="R0ae5fab2c73e462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330276920e742f0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Receita e EBITDA mensais (R$)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Receita</c:v>
          </c:tx>
          <c:marker>
            <c:symbol val="none"/>
          </c:marker>
          <c:cat>
            <c:strRef>
              <c:f>'Dashboard'!$A$13:$A$24</c:f>
              <c:strCache>
                <c:ptCount val="0"/>
              </c:strCache>
            </c:strRef>
          </c:cat>
          <c:val>
            <c:numRef>
              <c:f>'Dashboard'!$B$13:$B$24</c:f>
              <c:numCache>
                <c:formatCode>"R$"#,##0</c:formatCode>
                <c:ptCount val="0"/>
              </c:numCache>
            </c:numRef>
          </c:val>
          <c:smooth val="0"/>
        </c:ser>
        <c:ser>
          <c:idx val="1"/>
          <c:order val="1"/>
          <c:tx>
            <c:v>EBITDA</c:v>
          </c:tx>
          <c:marker>
            <c:symbol val="none"/>
          </c:marker>
          <c:cat>
            <c:strRef>
              <c:f>'Dashboard'!$A$13:$A$24</c:f>
              <c:strCache>
                <c:ptCount val="0"/>
              </c:strCache>
            </c:strRef>
          </c:cat>
          <c:val>
            <c:numRef>
              <c:f>'Dashboard'!$C$13:$C$24</c:f>
              <c:numCache>
                <c:formatCode>"R$"#,##0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10</xdr:row>
      <xdr:rowOff>0</xdr:rowOff>
    </xdr:from>
    <xdr:to>
      <xdr:col>12</xdr:col>
      <xdr:colOff>0</xdr:colOff>
      <xdr:row>26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330276920e742f0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e53b7e1a506b446f" /></Relationships>
</file>

<file path=xl/worksheets/sheet1.xml><?xml version="1.0" encoding="utf-8"?>
<x:worksheet xmlns:x="http://schemas.openxmlformats.org/spreadsheetml/2006/main">
  <x:sheetPr>
    <x:tabColor rgb="FF17324D"/>
  </x:sheetPr>
  <x:sheetViews>
    <x:sheetView showGridLines="0" workbookViewId="0"/>
  </x:sheetViews>
  <x:sheetFormatPr defaultRowHeight="15"/>
  <x:cols>
    <x:col min="1" max="1" width="22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</x:cols>
  <x:sheetData>
    <x:row r="1" ht="22" customHeight="1">
      <x:c r="A1" s="5" t="str">
        <x:v>Financial Forecast &amp; Cash Flow</x:v>
      </x:c>
      <x:c r="B1" s="9"/>
      <x:c r="C1" s="9"/>
      <x:c r="D1" s="9"/>
      <x:c r="E1" s="9"/>
      <x:c r="F1" s="9"/>
      <x:c r="G1" s="9"/>
      <x:c r="H1" s="9"/>
      <x:c r="I1" s="9"/>
      <x:c r="J1" s="9"/>
      <x:c r="K1" s="9"/>
      <x:c r="L1" s="9"/>
    </x:row>
    <x:row r="2" ht="22" customHeight="1">
      <x:c r="A2" s="10" t="str">
        <x:v>12-month operating forecast with scenario control | Data fictícios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</x:row>
    <x:row r="3">
      <x:c r="A3" s="11"/>
      <x:c r="B3" s="11"/>
      <x:c r="C3" s="11"/>
      <x:c r="D3" s="11"/>
      <x:c r="E3" s="11"/>
      <x:c r="F3" s="11"/>
      <x:c r="G3" s="11"/>
      <x:c r="H3" s="11"/>
      <x:c r="I3" s="11"/>
      <x:c r="J3" s="11"/>
      <x:c r="K3" s="11"/>
      <x:c r="L3" s="11"/>
    </x:row>
    <x:row r="4">
      <x:c r="A4" s="9"/>
      <x:c r="B4" s="9"/>
      <x:c r="C4" s="9"/>
      <x:c r="D4" s="9"/>
      <x:c r="E4" s="9"/>
      <x:c r="F4" s="9"/>
      <x:c r="G4" s="9"/>
      <x:c r="H4" s="9"/>
      <x:c r="I4" s="9"/>
      <x:c r="J4" s="9"/>
      <x:c r="K4" s="9"/>
      <x:c r="L4" s="9"/>
    </x:row>
    <x:row r="5">
      <x:c r="A5" s="9" t="str">
        <x:v>Cenário selecionado:</x:v>
      </x:c>
      <x:c r="B5" s="15" t="n">
        <x:f>Assumptions!B5</x:f>
        <x:v>1</x:v>
      </x:c>
      <x:c r="C5" s="9"/>
      <x:c r="D5" s="9"/>
      <x:c r="E5" s="9"/>
      <x:c r="F5" s="9"/>
      <x:c r="G5" s="9"/>
      <x:c r="H5" s="9"/>
      <x:c r="I5" s="9"/>
      <x:c r="J5" s="9"/>
      <x:c r="K5" s="9"/>
      <x:c r="L5" s="9"/>
    </x:row>
    <x:row r="6">
      <x:c r="A6" s="9"/>
      <x:c r="B6" s="9"/>
      <x:c r="C6" s="9"/>
      <x:c r="D6" s="9"/>
      <x:c r="E6" s="9"/>
      <x:c r="F6" s="9"/>
      <x:c r="G6" s="9"/>
      <x:c r="H6" s="9"/>
      <x:c r="I6" s="9"/>
      <x:c r="J6" s="9"/>
      <x:c r="K6" s="9"/>
      <x:c r="L6" s="9"/>
    </x:row>
    <x:row r="7">
      <x:c r="A7" s="18" t="str">
        <x:v>Receita projetada</x:v>
      </x:c>
      <x:c r="B7" s="9"/>
      <x:c r="C7" s="18" t="str">
        <x:v>EBITDA</x:v>
      </x:c>
      <x:c r="D7" s="9"/>
      <x:c r="E7" s="18" t="str">
        <x:v>Margem EBITDA</x:v>
      </x:c>
      <x:c r="F7" s="9"/>
      <x:c r="G7" s="18" t="str">
        <x:v>Caixa final</x:v>
      </x:c>
      <x:c r="H7" s="9"/>
      <x:c r="I7" s="9"/>
      <x:c r="J7" s="9"/>
      <x:c r="K7" s="9"/>
      <x:c r="L7" s="9"/>
    </x:row>
    <x:row r="8">
      <x:c r="A8" s="23" t="n">
        <x:f>SUM(Forecast!B7:M7)</x:f>
        <x:v>4591924.893330171</x:v>
      </x:c>
      <x:c r="B8" s="9"/>
      <x:c r="C8" s="23" t="n">
        <x:f>SUM(Forecast!B12:M12)</x:f>
        <x:v>2074831.9317313095</x:v>
      </x:c>
      <x:c r="D8" s="9"/>
      <x:c r="E8" s="25" t="n">
        <x:f>C8/A8</x:f>
        <x:v>0.451843612412962</x:v>
      </x:c>
      <x:c r="F8" s="9"/>
      <x:c r="G8" s="23" t="n">
        <x:f>Forecast!M18</x:f>
        <x:v>1909852.0999235522</x:v>
      </x:c>
      <x:c r="H8" s="9"/>
      <x:c r="I8" s="9"/>
      <x:c r="J8" s="9"/>
      <x:c r="K8" s="9"/>
      <x:c r="L8" s="9"/>
    </x:row>
    <x:row r="9">
      <x:c r="A9" s="9"/>
      <x:c r="B9" s="9"/>
      <x:c r="C9" s="9"/>
      <x:c r="D9" s="9"/>
      <x:c r="E9" s="9"/>
      <x:c r="F9" s="9"/>
      <x:c r="G9" s="9"/>
      <x:c r="H9" s="9"/>
      <x:c r="I9" s="9"/>
      <x:c r="J9" s="9"/>
      <x:c r="K9" s="9"/>
      <x:c r="L9" s="9"/>
    </x:row>
    <x:row r="10">
      <x:c r="A10" s="9"/>
      <x:c r="B10" s="9"/>
      <x:c r="C10" s="9"/>
      <x:c r="D10" s="9"/>
      <x:c r="E10" s="9"/>
      <x:c r="F10" s="9"/>
      <x:c r="G10" s="9"/>
      <x:c r="H10" s="9"/>
      <x:c r="I10" s="9"/>
      <x:c r="J10" s="9"/>
      <x:c r="K10" s="9"/>
      <x:c r="L10" s="9"/>
    </x:row>
    <x:row r="11">
      <x:c r="A11" s="27" t="str">
        <x:v>Resumo mensal</x:v>
      </x:c>
      <x:c r="B11" s="9"/>
      <x:c r="C11" s="9"/>
      <x:c r="D11" s="9"/>
      <x:c r="E11" s="9"/>
      <x:c r="F11" s="9"/>
      <x:c r="G11" s="9"/>
      <x:c r="H11" s="9"/>
      <x:c r="I11" s="9"/>
      <x:c r="J11" s="9"/>
      <x:c r="K11" s="9"/>
      <x:c r="L11" s="9"/>
    </x:row>
    <x:row r="12">
      <x:c r="A12" s="35" t="str">
        <x:v>Mês</x:v>
      </x:c>
      <x:c r="B12" s="36" t="str">
        <x:v>Receita</x:v>
      </x:c>
      <x:c r="C12" s="37" t="str">
        <x:v>EBITDA</x:v>
      </x:c>
      <x:c r="D12" s="9"/>
      <x:c r="E12" s="9"/>
      <x:c r="F12" s="9"/>
      <x:c r="G12" s="9"/>
      <x:c r="H12" s="9"/>
      <x:c r="I12" s="9"/>
      <x:c r="J12" s="9"/>
      <x:c r="K12" s="9"/>
      <x:c r="L12" s="9"/>
    </x:row>
    <x:row r="13">
      <x:c r="A13" s="38" t="str">
        <x:v>Jan-27</x:v>
      </x:c>
      <x:c r="B13" s="34" t="n">
        <x:f>Forecast!B7</x:f>
        <x:v>262500</x:v>
      </x:c>
      <x:c r="C13" s="39" t="n">
        <x:f>Forecast!B12</x:f>
        <x:v>96000</x:v>
      </x:c>
      <x:c r="D13" s="9"/>
      <x:c r="E13" s="9"/>
      <x:c r="F13" s="9"/>
      <x:c r="G13" s="9"/>
      <x:c r="H13" s="9"/>
      <x:c r="I13" s="9"/>
      <x:c r="J13" s="9"/>
      <x:c r="K13" s="9"/>
      <x:c r="L13" s="9"/>
    </x:row>
    <x:row r="14">
      <x:c r="A14" s="38" t="str">
        <x:v>Feb-27</x:v>
      </x:c>
      <x:c r="B14" s="34" t="n">
        <x:f>Forecast!C7</x:f>
        <x:v>275625</x:v>
      </x:c>
      <x:c r="C14" s="39" t="n">
        <x:f>Forecast!C12</x:f>
        <x:v>104400</x:v>
      </x:c>
      <x:c r="D14" s="9"/>
      <x:c r="E14" s="9"/>
      <x:c r="F14" s="9"/>
      <x:c r="G14" s="9"/>
      <x:c r="H14" s="9"/>
      <x:c r="I14" s="9"/>
      <x:c r="J14" s="9"/>
      <x:c r="K14" s="9"/>
      <x:c r="L14" s="9"/>
    </x:row>
    <x:row r="15">
      <x:c r="A15" s="38" t="str">
        <x:v>Mar-27</x:v>
      </x:c>
      <x:c r="B15" s="34" t="n">
        <x:f>Forecast!D7</x:f>
        <x:v>292162.5</x:v>
      </x:c>
      <x:c r="C15" s="39" t="n">
        <x:f>Forecast!D12</x:f>
        <x:v>114984</x:v>
      </x:c>
      <x:c r="D15" s="9"/>
      <x:c r="E15" s="9"/>
      <x:c r="F15" s="9"/>
      <x:c r="G15" s="9"/>
      <x:c r="H15" s="9"/>
      <x:c r="I15" s="9"/>
      <x:c r="J15" s="9"/>
      <x:c r="K15" s="9"/>
      <x:c r="L15" s="9"/>
    </x:row>
    <x:row r="16">
      <x:c r="A16" s="38" t="str">
        <x:v>Apr-27</x:v>
      </x:c>
      <x:c r="B16" s="34" t="n">
        <x:f>Forecast!E7</x:f>
        <x:v>309692.25</x:v>
      </x:c>
      <x:c r="C16" s="39" t="n">
        <x:f>Forecast!E12</x:f>
        <x:v>126203.04000000001</x:v>
      </x:c>
      <x:c r="D16" s="9"/>
      <x:c r="E16" s="9"/>
      <x:c r="F16" s="9"/>
      <x:c r="G16" s="9"/>
      <x:c r="H16" s="9"/>
      <x:c r="I16" s="9"/>
      <x:c r="J16" s="9"/>
      <x:c r="K16" s="9"/>
      <x:c r="L16" s="9"/>
    </x:row>
    <x:row r="17">
      <x:c r="A17" s="38" t="str">
        <x:v>May-27</x:v>
      </x:c>
      <x:c r="B17" s="34" t="n">
        <x:f>Forecast!F7</x:f>
        <x:v>331370.7075</x:v>
      </x:c>
      <x:c r="C17" s="39" t="n">
        <x:f>Forecast!F12</x:f>
        <x:v>140077.25280000002</x:v>
      </x:c>
      <x:c r="D17" s="9"/>
      <x:c r="E17" s="9"/>
      <x:c r="F17" s="9"/>
      <x:c r="G17" s="9"/>
      <x:c r="H17" s="9"/>
      <x:c r="I17" s="9"/>
      <x:c r="J17" s="9"/>
      <x:c r="K17" s="9"/>
      <x:c r="L17" s="9"/>
    </x:row>
    <x:row r="18">
      <x:c r="A18" s="38" t="str">
        <x:v>Jun-27</x:v>
      </x:c>
      <x:c r="B18" s="34" t="n">
        <x:f>Forecast!G7</x:f>
        <x:v>354566.657025</x:v>
      </x:c>
      <x:c r="C18" s="39" t="n">
        <x:f>Forecast!G12</x:f>
        <x:v>154922.66049600003</x:v>
      </x:c>
      <x:c r="D18" s="9"/>
      <x:c r="E18" s="9"/>
      <x:c r="F18" s="9"/>
      <x:c r="G18" s="9"/>
      <x:c r="H18" s="9"/>
      <x:c r="I18" s="9"/>
      <x:c r="J18" s="9"/>
      <x:c r="K18" s="9"/>
      <x:c r="L18" s="9"/>
    </x:row>
    <x:row r="19">
      <x:c r="A19" s="38" t="str">
        <x:v>Jul-27</x:v>
      </x:c>
      <x:c r="B19" s="34" t="n">
        <x:f>Forecast!H7</x:f>
        <x:v>379386.32301675004</x:v>
      </x:c>
      <x:c r="C19" s="39" t="n">
        <x:f>Forecast!H12</x:f>
        <x:v>170807.24673072004</x:v>
      </x:c>
      <x:c r="D19" s="9"/>
      <x:c r="E19" s="9"/>
      <x:c r="F19" s="9"/>
      <x:c r="G19" s="9"/>
      <x:c r="H19" s="9"/>
      <x:c r="I19" s="9"/>
      <x:c r="J19" s="9"/>
      <x:c r="K19" s="9"/>
      <x:c r="L19" s="9"/>
    </x:row>
    <x:row r="20">
      <x:c r="A20" s="38" t="str">
        <x:v>Aug-27</x:v>
      </x:c>
      <x:c r="B20" s="34" t="n">
        <x:f>Forecast!I7</x:f>
        <x:v>405943.3656279226</x:v>
      </x:c>
      <x:c r="C20" s="39" t="n">
        <x:f>Forecast!I12</x:f>
        <x:v>187803.75400187046</x:v>
      </x:c>
      <x:c r="D20" s="9"/>
      <x:c r="E20" s="9"/>
      <x:c r="F20" s="9"/>
      <x:c r="G20" s="9"/>
      <x:c r="H20" s="9"/>
      <x:c r="I20" s="9"/>
      <x:c r="J20" s="9"/>
      <x:c r="K20" s="9"/>
      <x:c r="L20" s="9"/>
    </x:row>
    <x:row r="21">
      <x:c r="A21" s="38" t="str">
        <x:v>Sep-27</x:v>
      </x:c>
      <x:c r="B21" s="34" t="n">
        <x:f>Forecast!J7</x:f>
        <x:v>438418.8348781564</x:v>
      </x:c>
      <x:c r="C21" s="39" t="n">
        <x:f>Forecast!J12</x:f>
        <x:v>208588.05432202015</x:v>
      </x:c>
      <x:c r="D21" s="9"/>
      <x:c r="E21" s="9"/>
      <x:c r="F21" s="9"/>
      <x:c r="G21" s="9"/>
      <x:c r="H21" s="9"/>
      <x:c r="I21" s="9"/>
      <x:c r="J21" s="9"/>
      <x:c r="K21" s="9"/>
      <x:c r="L21" s="9"/>
    </x:row>
    <x:row r="22">
      <x:c r="A22" s="38" t="str">
        <x:v>Oct-27</x:v>
      </x:c>
      <x:c r="B22" s="34" t="n">
        <x:f>Forecast!K7</x:f>
        <x:v>473492.34166840895</x:v>
      </x:c>
      <x:c r="C22" s="39" t="n">
        <x:f>Forecast!K12</x:f>
        <x:v>231035.09866778174</x:v>
      </x:c>
      <x:c r="D22" s="9"/>
      <x:c r="E22" s="9"/>
      <x:c r="F22" s="9"/>
      <x:c r="G22" s="9"/>
      <x:c r="H22" s="9"/>
      <x:c r="I22" s="9"/>
      <x:c r="J22" s="9"/>
      <x:c r="K22" s="9"/>
      <x:c r="L22" s="9"/>
    </x:row>
    <x:row r="23">
      <x:c r="A23" s="38" t="str">
        <x:v>Nov-27</x:v>
      </x:c>
      <x:c r="B23" s="34" t="n">
        <x:f>Forecast!L7</x:f>
        <x:v>511371.7290018817</x:v>
      </x:c>
      <x:c r="C23" s="39" t="n">
        <x:f>Forecast!L12</x:f>
        <x:v>255277.9065612043</x:v>
      </x:c>
      <x:c r="D23" s="9"/>
      <x:c r="E23" s="9"/>
      <x:c r="F23" s="9"/>
      <x:c r="G23" s="9"/>
      <x:c r="H23" s="9"/>
      <x:c r="I23" s="9"/>
      <x:c r="J23" s="9"/>
      <x:c r="K23" s="9"/>
      <x:c r="L23" s="9"/>
    </x:row>
    <x:row r="24">
      <x:c r="A24" s="40" t="str">
        <x:v>Dec-27</x:v>
      </x:c>
      <x:c r="B24" s="41" t="n">
        <x:f>Forecast!M7</x:f>
        <x:v>557395.1846120511</x:v>
      </x:c>
      <x:c r="C24" s="42" t="n">
        <x:f>Forecast!M12</x:f>
        <x:v>284732.91815171274</x:v>
      </x:c>
      <x:c r="D24" s="9"/>
      <x:c r="E24" s="9"/>
      <x:c r="F24" s="9"/>
      <x:c r="G24" s="9"/>
      <x:c r="H24" s="9"/>
      <x:c r="I24" s="9"/>
      <x:c r="J24" s="9"/>
      <x:c r="K24" s="9"/>
      <x:c r="L24" s="9"/>
    </x:row>
    <x:row r="25">
      <x:c r="A25" s="9"/>
      <x:c r="B25" s="9"/>
      <x:c r="C25" s="9"/>
      <x:c r="D25" s="9"/>
      <x:c r="E25" s="9"/>
      <x:c r="F25" s="9"/>
      <x:c r="G25" s="9"/>
      <x:c r="H25" s="9"/>
      <x:c r="I25" s="9"/>
      <x:c r="J25" s="9"/>
      <x:c r="K25" s="9"/>
      <x:c r="L25" s="9"/>
    </x:row>
    <x:row r="26">
      <x:c r="A26" s="9"/>
      <x:c r="B26" s="9"/>
      <x:c r="C26" s="9"/>
      <x:c r="D26" s="9"/>
      <x:c r="E26" s="9"/>
      <x:c r="F26" s="9"/>
      <x:c r="G26" s="9"/>
      <x:c r="H26" s="9"/>
      <x:c r="I26" s="9"/>
      <x:c r="J26" s="9"/>
      <x:c r="K26" s="9"/>
      <x:c r="L26" s="9"/>
    </x:row>
    <x:row r="27">
      <x:c r="A27" s="9"/>
      <x:c r="B27" s="9"/>
      <x:c r="C27" s="9"/>
      <x:c r="D27" s="9"/>
      <x:c r="E27" s="9"/>
      <x:c r="F27" s="9"/>
      <x:c r="G27" s="9"/>
      <x:c r="H27" s="9"/>
      <x:c r="I27" s="9"/>
      <x:c r="J27" s="9"/>
      <x:c r="K27" s="9"/>
      <x:c r="L27" s="9"/>
    </x:row>
    <x:row r="28">
      <x:c r="A28" s="9"/>
      <x:c r="B28" s="9"/>
      <x:c r="C28" s="9"/>
      <x:c r="D28" s="9"/>
      <x:c r="E28" s="9"/>
      <x:c r="F28" s="9"/>
      <x:c r="G28" s="9"/>
      <x:c r="H28" s="9"/>
      <x:c r="I28" s="9"/>
      <x:c r="J28" s="9"/>
      <x:c r="K28" s="9"/>
      <x:c r="L28" s="9"/>
    </x:row>
    <x:row r="29">
      <x:c r="A29" s="9"/>
      <x:c r="B29" s="9"/>
      <x:c r="C29" s="9"/>
      <x:c r="D29" s="9"/>
      <x:c r="E29" s="9"/>
      <x:c r="F29" s="9"/>
      <x:c r="G29" s="9"/>
      <x:c r="H29" s="9"/>
      <x:c r="I29" s="9"/>
      <x:c r="J29" s="9"/>
      <x:c r="K29" s="9"/>
      <x:c r="L29" s="9"/>
    </x:row>
    <x:row r="30">
      <x:c r="A30" s="9"/>
      <x:c r="B30" s="9"/>
      <x:c r="C30" s="9"/>
      <x:c r="D30" s="9"/>
      <x:c r="E30" s="9"/>
      <x:c r="F30" s="9"/>
      <x:c r="G30" s="9"/>
      <x:c r="H30" s="9"/>
      <x:c r="I30" s="9"/>
      <x:c r="J30" s="9"/>
      <x:c r="K30" s="9"/>
      <x:c r="L30" s="9"/>
    </x:row>
    <x:row r="31">
      <x:c r="A31" s="9"/>
      <x:c r="B31" s="9"/>
      <x:c r="C31" s="9"/>
      <x:c r="D31" s="9"/>
      <x:c r="E31" s="9"/>
      <x:c r="F31" s="9"/>
      <x:c r="G31" s="9"/>
      <x:c r="H31" s="9"/>
      <x:c r="I31" s="9"/>
      <x:c r="J31" s="9"/>
      <x:c r="K31" s="9"/>
      <x:c r="L31" s="9"/>
    </x:row>
    <x:row r="32">
      <x:c r="A32" s="9"/>
      <x:c r="B32" s="9"/>
      <x:c r="C32" s="9"/>
      <x:c r="D32" s="9"/>
      <x:c r="E32" s="9"/>
      <x:c r="F32" s="9"/>
      <x:c r="G32" s="9"/>
      <x:c r="H32" s="9"/>
      <x:c r="I32" s="9"/>
      <x:c r="J32" s="9"/>
      <x:c r="K32" s="9"/>
      <x:c r="L32" s="9"/>
    </x:row>
    <x:row r="33">
      <x:c r="A33" s="9"/>
      <x:c r="B33" s="9"/>
      <x:c r="C33" s="9"/>
      <x:c r="D33" s="9"/>
      <x:c r="E33" s="9"/>
      <x:c r="F33" s="9"/>
      <x:c r="G33" s="9"/>
      <x:c r="H33" s="9"/>
      <x:c r="I33" s="9"/>
      <x:c r="J33" s="9"/>
      <x:c r="K33" s="9"/>
      <x:c r="L33" s="9"/>
    </x:row>
    <x:row r="34">
      <x:c r="A34" s="9"/>
      <x:c r="B34" s="9"/>
      <x:c r="C34" s="9"/>
      <x:c r="D34" s="9"/>
      <x:c r="E34" s="9"/>
      <x:c r="F34" s="9"/>
      <x:c r="G34" s="9"/>
      <x:c r="H34" s="9"/>
      <x:c r="I34" s="9"/>
      <x:c r="J34" s="9"/>
      <x:c r="K34" s="9"/>
      <x:c r="L34" s="9"/>
    </x:row>
    <x:row r="35">
      <x:c r="A35" s="9"/>
      <x:c r="B35" s="9"/>
      <x:c r="C35" s="9"/>
      <x:c r="D35" s="9"/>
      <x:c r="E35" s="9"/>
      <x:c r="F35" s="9"/>
      <x:c r="G35" s="9"/>
      <x:c r="H35" s="9"/>
      <x:c r="I35" s="9"/>
      <x:c r="J35" s="9"/>
      <x:c r="K35" s="9"/>
      <x:c r="L35" s="9"/>
    </x:row>
    <x:row r="36">
      <x:c r="A36" s="9"/>
      <x:c r="B36" s="9"/>
      <x:c r="C36" s="9"/>
      <x:c r="D36" s="9"/>
      <x:c r="E36" s="9"/>
      <x:c r="F36" s="9"/>
      <x:c r="G36" s="9"/>
      <x:c r="H36" s="9"/>
      <x:c r="I36" s="9"/>
      <x:c r="J36" s="9"/>
      <x:c r="K36" s="9"/>
      <x:c r="L36" s="9"/>
    </x:row>
    <x:row r="37">
      <x:c r="A37" s="9"/>
      <x:c r="B37" s="9"/>
      <x:c r="C37" s="9"/>
      <x:c r="D37" s="9"/>
      <x:c r="E37" s="9"/>
      <x:c r="F37" s="9"/>
      <x:c r="G37" s="9"/>
      <x:c r="H37" s="9"/>
      <x:c r="I37" s="9"/>
      <x:c r="J37" s="9"/>
      <x:c r="K37" s="9"/>
      <x:c r="L37" s="9"/>
    </x:row>
    <x:row r="38">
      <x:c r="A38" s="9"/>
      <x:c r="B38" s="9"/>
      <x:c r="C38" s="9"/>
      <x:c r="D38" s="9"/>
      <x:c r="E38" s="9"/>
      <x:c r="F38" s="9"/>
      <x:c r="G38" s="9"/>
      <x:c r="H38" s="9"/>
      <x:c r="I38" s="9"/>
      <x:c r="J38" s="9"/>
      <x:c r="K38" s="9"/>
      <x:c r="L38" s="9"/>
    </x:row>
    <x:row r="39">
      <x:c r="A39" s="9"/>
      <x:c r="B39" s="9"/>
      <x:c r="C39" s="9"/>
      <x:c r="D39" s="9"/>
      <x:c r="E39" s="9"/>
      <x:c r="F39" s="9"/>
      <x:c r="G39" s="9"/>
      <x:c r="H39" s="9"/>
      <x:c r="I39" s="9"/>
      <x:c r="J39" s="9"/>
      <x:c r="K39" s="9"/>
      <x:c r="L39" s="9"/>
    </x:row>
    <x:row r="40">
      <x:c r="A40" s="9"/>
      <x:c r="B40" s="9"/>
      <x:c r="C40" s="9"/>
      <x:c r="D40" s="9"/>
      <x:c r="E40" s="9"/>
      <x:c r="F40" s="9"/>
      <x:c r="G40" s="9"/>
      <x:c r="H40" s="9"/>
      <x:c r="I40" s="9"/>
      <x:c r="J40" s="9"/>
      <x:c r="K40" s="9"/>
      <x:c r="L40" s="9"/>
    </x:row>
    <x:row r="41">
      <x:c r="A41" s="9"/>
      <x:c r="B41" s="9"/>
      <x:c r="C41" s="9"/>
      <x:c r="D41" s="9"/>
      <x:c r="E41" s="9"/>
      <x:c r="F41" s="9"/>
      <x:c r="G41" s="9"/>
      <x:c r="H41" s="9"/>
      <x:c r="I41" s="9"/>
      <x:c r="J41" s="9"/>
      <x:c r="K41" s="9"/>
      <x:c r="L41" s="9"/>
    </x:row>
    <x:row r="42">
      <x:c r="A42" s="9"/>
      <x:c r="B42" s="9"/>
      <x:c r="C42" s="9"/>
      <x:c r="D42" s="9"/>
      <x:c r="E42" s="9"/>
      <x:c r="F42" s="9"/>
      <x:c r="G42" s="9"/>
      <x:c r="H42" s="9"/>
      <x:c r="I42" s="9"/>
      <x:c r="J42" s="9"/>
      <x:c r="K42" s="9"/>
      <x:c r="L42" s="9"/>
    </x:row>
    <x:row r="43">
      <x:c r="A43" s="9"/>
      <x:c r="B43" s="9"/>
      <x:c r="C43" s="9"/>
      <x:c r="D43" s="9"/>
      <x:c r="E43" s="9"/>
      <x:c r="F43" s="9"/>
      <x:c r="G43" s="9"/>
      <x:c r="H43" s="9"/>
      <x:c r="I43" s="9"/>
      <x:c r="J43" s="9"/>
      <x:c r="K43" s="9"/>
      <x:c r="L43" s="9"/>
    </x:row>
    <x:row r="44">
      <x:c r="A44" s="9"/>
      <x:c r="B44" s="9"/>
      <x:c r="C44" s="9"/>
      <x:c r="D44" s="9"/>
      <x:c r="E44" s="9"/>
      <x:c r="F44" s="9"/>
      <x:c r="G44" s="9"/>
      <x:c r="H44" s="9"/>
      <x:c r="I44" s="9"/>
      <x:c r="J44" s="9"/>
      <x:c r="K44" s="9"/>
      <x:c r="L44" s="9"/>
    </x:row>
    <x:row r="45">
      <x:c r="A45" s="9"/>
      <x:c r="B45" s="9"/>
      <x:c r="C45" s="9"/>
      <x:c r="D45" s="9"/>
      <x:c r="E45" s="9"/>
      <x:c r="F45" s="9"/>
      <x:c r="G45" s="9"/>
      <x:c r="H45" s="9"/>
      <x:c r="I45" s="9"/>
      <x:c r="J45" s="9"/>
      <x:c r="K45" s="9"/>
      <x:c r="L45" s="9"/>
    </x:row>
    <x:row r="46">
      <x:c r="A46" s="9"/>
      <x:c r="B46" s="9"/>
      <x:c r="C46" s="9"/>
      <x:c r="D46" s="9"/>
      <x:c r="E46" s="9"/>
      <x:c r="F46" s="9"/>
      <x:c r="G46" s="9"/>
      <x:c r="H46" s="9"/>
      <x:c r="I46" s="9"/>
      <x:c r="J46" s="9"/>
      <x:c r="K46" s="9"/>
      <x:c r="L46" s="9"/>
    </x:row>
    <x:row r="47">
      <x:c r="A47" s="9"/>
      <x:c r="B47" s="9"/>
      <x:c r="C47" s="9"/>
      <x:c r="D47" s="9"/>
      <x:c r="E47" s="9"/>
      <x:c r="F47" s="9"/>
      <x:c r="G47" s="9"/>
      <x:c r="H47" s="9"/>
      <x:c r="I47" s="9"/>
      <x:c r="J47" s="9"/>
      <x:c r="K47" s="9"/>
      <x:c r="L47" s="9"/>
    </x:row>
    <x:row r="48">
      <x:c r="A48" s="9"/>
      <x:c r="B48" s="9"/>
      <x:c r="C48" s="9"/>
      <x:c r="D48" s="9"/>
      <x:c r="E48" s="9"/>
      <x:c r="F48" s="9"/>
      <x:c r="G48" s="9"/>
      <x:c r="H48" s="9"/>
      <x:c r="I48" s="9"/>
      <x:c r="J48" s="9"/>
      <x:c r="K48" s="9"/>
      <x:c r="L48" s="9"/>
    </x:row>
    <x:row r="49">
      <x:c r="A49" s="9"/>
      <x:c r="B49" s="9"/>
      <x:c r="C49" s="9"/>
      <x:c r="D49" s="9"/>
      <x:c r="E49" s="9"/>
      <x:c r="F49" s="9"/>
      <x:c r="G49" s="9"/>
      <x:c r="H49" s="9"/>
      <x:c r="I49" s="9"/>
      <x:c r="J49" s="9"/>
      <x:c r="K49" s="9"/>
      <x:c r="L49" s="9"/>
    </x:row>
    <x:row r="50">
      <x:c r="A50" s="9"/>
      <x:c r="B50" s="9"/>
      <x:c r="C50" s="9"/>
      <x:c r="D50" s="9"/>
      <x:c r="E50" s="9"/>
      <x:c r="F50" s="9"/>
      <x:c r="G50" s="9"/>
      <x:c r="H50" s="9"/>
      <x:c r="I50" s="9"/>
      <x:c r="J50" s="9"/>
      <x:c r="K50" s="9"/>
      <x:c r="L50" s="9"/>
    </x:row>
    <x:row r="51">
      <x:c r="A51" s="9"/>
      <x:c r="B51" s="9"/>
      <x:c r="C51" s="9"/>
      <x:c r="D51" s="9"/>
      <x:c r="E51" s="9"/>
      <x:c r="F51" s="9"/>
      <x:c r="G51" s="9"/>
      <x:c r="H51" s="9"/>
      <x:c r="I51" s="9"/>
      <x:c r="J51" s="9"/>
      <x:c r="K51" s="9"/>
      <x:c r="L51" s="9"/>
    </x:row>
    <x:row r="52">
      <x:c r="A52" s="9"/>
      <x:c r="B52" s="9"/>
      <x:c r="C52" s="9"/>
      <x:c r="D52" s="9"/>
      <x:c r="E52" s="9"/>
      <x:c r="F52" s="9"/>
      <x:c r="G52" s="9"/>
      <x:c r="H52" s="9"/>
      <x:c r="I52" s="9"/>
      <x:c r="J52" s="9"/>
      <x:c r="K52" s="9"/>
      <x:c r="L52" s="9"/>
    </x:row>
    <x:row r="53">
      <x:c r="A53" s="9"/>
      <x:c r="B53" s="9"/>
      <x:c r="C53" s="9"/>
      <x:c r="D53" s="9"/>
      <x:c r="E53" s="9"/>
      <x:c r="F53" s="9"/>
      <x:c r="G53" s="9"/>
      <x:c r="H53" s="9"/>
      <x:c r="I53" s="9"/>
      <x:c r="J53" s="9"/>
      <x:c r="K53" s="9"/>
      <x:c r="L53" s="9"/>
    </x:row>
    <x:row r="54">
      <x:c r="A54" s="9"/>
      <x:c r="B54" s="9"/>
      <x:c r="C54" s="9"/>
      <x:c r="D54" s="9"/>
      <x:c r="E54" s="9"/>
      <x:c r="F54" s="9"/>
      <x:c r="G54" s="9"/>
      <x:c r="H54" s="9"/>
      <x:c r="I54" s="9"/>
      <x:c r="J54" s="9"/>
      <x:c r="K54" s="9"/>
      <x:c r="L54" s="9"/>
    </x:row>
    <x:row r="55">
      <x:c r="A55" s="9"/>
      <x:c r="B55" s="9"/>
      <x:c r="C55" s="9"/>
      <x:c r="D55" s="9"/>
      <x:c r="E55" s="9"/>
      <x:c r="F55" s="9"/>
      <x:c r="G55" s="9"/>
      <x:c r="H55" s="9"/>
      <x:c r="I55" s="9"/>
      <x:c r="J55" s="9"/>
      <x:c r="K55" s="9"/>
      <x:c r="L55" s="9"/>
    </x:row>
    <x:row r="56">
      <x:c r="A56" s="9"/>
      <x:c r="B56" s="9"/>
      <x:c r="C56" s="9"/>
      <x:c r="D56" s="9"/>
      <x:c r="E56" s="9"/>
      <x:c r="F56" s="9"/>
      <x:c r="G56" s="9"/>
      <x:c r="H56" s="9"/>
      <x:c r="I56" s="9"/>
      <x:c r="J56" s="9"/>
      <x:c r="K56" s="9"/>
      <x:c r="L56" s="9"/>
    </x:row>
    <x:row r="57">
      <x:c r="A57" s="9"/>
      <x:c r="B57" s="9"/>
      <x:c r="C57" s="9"/>
      <x:c r="D57" s="9"/>
      <x:c r="E57" s="9"/>
      <x:c r="F57" s="9"/>
      <x:c r="G57" s="9"/>
      <x:c r="H57" s="9"/>
      <x:c r="I57" s="9"/>
      <x:c r="J57" s="9"/>
      <x:c r="K57" s="9"/>
      <x:c r="L57" s="9"/>
    </x:row>
    <x:row r="58">
      <x:c r="A58" s="9"/>
      <x:c r="B58" s="9"/>
      <x:c r="C58" s="9"/>
      <x:c r="D58" s="9"/>
      <x:c r="E58" s="9"/>
      <x:c r="F58" s="9"/>
      <x:c r="G58" s="9"/>
      <x:c r="H58" s="9"/>
      <x:c r="I58" s="9"/>
      <x:c r="J58" s="9"/>
      <x:c r="K58" s="9"/>
      <x:c r="L58" s="9"/>
    </x:row>
    <x:row r="59">
      <x:c r="A59" s="9"/>
      <x:c r="B59" s="9"/>
      <x:c r="C59" s="9"/>
      <x:c r="D59" s="9"/>
      <x:c r="E59" s="9"/>
      <x:c r="F59" s="9"/>
      <x:c r="G59" s="9"/>
      <x:c r="H59" s="9"/>
      <x:c r="I59" s="9"/>
      <x:c r="J59" s="9"/>
      <x:c r="K59" s="9"/>
      <x:c r="L59" s="9"/>
    </x:row>
    <x:row r="60">
      <x:c r="A60" s="9"/>
      <x:c r="B60" s="9"/>
      <x:c r="C60" s="9"/>
      <x:c r="D60" s="9"/>
      <x:c r="E60" s="9"/>
      <x:c r="F60" s="9"/>
      <x:c r="G60" s="9"/>
      <x:c r="H60" s="9"/>
      <x:c r="I60" s="9"/>
      <x:c r="J60" s="9"/>
      <x:c r="K60" s="9"/>
      <x:c r="L60" s="9"/>
    </x:row>
    <x:row r="61">
      <x:c r="A61" s="9"/>
      <x:c r="B61" s="9"/>
      <x:c r="C61" s="9"/>
      <x:c r="D61" s="9"/>
      <x:c r="E61" s="9"/>
      <x:c r="F61" s="9"/>
      <x:c r="G61" s="9"/>
      <x:c r="H61" s="9"/>
      <x:c r="I61" s="9"/>
      <x:c r="J61" s="9"/>
      <x:c r="K61" s="9"/>
      <x:c r="L61" s="9"/>
    </x:row>
    <x:row r="62">
      <x:c r="A62" s="9"/>
      <x:c r="B62" s="9"/>
      <x:c r="C62" s="9"/>
      <x:c r="D62" s="9"/>
      <x:c r="E62" s="9"/>
      <x:c r="F62" s="9"/>
      <x:c r="G62" s="9"/>
      <x:c r="H62" s="9"/>
      <x:c r="I62" s="9"/>
      <x:c r="J62" s="9"/>
      <x:c r="K62" s="9"/>
      <x:c r="L62" s="9"/>
    </x:row>
    <x:row r="63">
      <x:c r="A63" s="9"/>
      <x:c r="B63" s="9"/>
      <x:c r="C63" s="9"/>
      <x:c r="D63" s="9"/>
      <x:c r="E63" s="9"/>
      <x:c r="F63" s="9"/>
      <x:c r="G63" s="9"/>
      <x:c r="H63" s="9"/>
      <x:c r="I63" s="9"/>
      <x:c r="J63" s="9"/>
      <x:c r="K63" s="9"/>
      <x:c r="L63" s="9"/>
    </x:row>
    <x:row r="64">
      <x:c r="A64" s="9"/>
      <x:c r="B64" s="9"/>
      <x:c r="C64" s="9"/>
      <x:c r="D64" s="9"/>
      <x:c r="E64" s="9"/>
      <x:c r="F64" s="9"/>
      <x:c r="G64" s="9"/>
      <x:c r="H64" s="9"/>
      <x:c r="I64" s="9"/>
      <x:c r="J64" s="9"/>
      <x:c r="K64" s="9"/>
      <x:c r="L64" s="9"/>
    </x:row>
    <x:row r="65">
      <x:c r="A65" s="9"/>
      <x:c r="B65" s="9"/>
      <x:c r="C65" s="9"/>
      <x:c r="D65" s="9"/>
      <x:c r="E65" s="9"/>
      <x:c r="F65" s="9"/>
      <x:c r="G65" s="9"/>
      <x:c r="H65" s="9"/>
      <x:c r="I65" s="9"/>
      <x:c r="J65" s="9"/>
      <x:c r="K65" s="9"/>
      <x:c r="L65" s="9"/>
    </x:row>
    <x:row r="66">
      <x:c r="A66" s="9"/>
      <x:c r="B66" s="9"/>
      <x:c r="C66" s="9"/>
      <x:c r="D66" s="9"/>
      <x:c r="E66" s="9"/>
      <x:c r="F66" s="9"/>
      <x:c r="G66" s="9"/>
      <x:c r="H66" s="9"/>
      <x:c r="I66" s="9"/>
      <x:c r="J66" s="9"/>
      <x:c r="K66" s="9"/>
      <x:c r="L66" s="9"/>
    </x:row>
    <x:row r="67">
      <x:c r="A67" s="9"/>
      <x:c r="B67" s="9"/>
      <x:c r="C67" s="9"/>
      <x:c r="D67" s="9"/>
      <x:c r="E67" s="9"/>
      <x:c r="F67" s="9"/>
      <x:c r="G67" s="9"/>
      <x:c r="H67" s="9"/>
      <x:c r="I67" s="9"/>
      <x:c r="J67" s="9"/>
      <x:c r="K67" s="9"/>
      <x:c r="L67" s="9"/>
    </x:row>
    <x:row r="68">
      <x:c r="A68" s="9"/>
      <x:c r="B68" s="9"/>
      <x:c r="C68" s="9"/>
      <x:c r="D68" s="9"/>
      <x:c r="E68" s="9"/>
      <x:c r="F68" s="9"/>
      <x:c r="G68" s="9"/>
      <x:c r="H68" s="9"/>
      <x:c r="I68" s="9"/>
      <x:c r="J68" s="9"/>
      <x:c r="K68" s="9"/>
      <x:c r="L68" s="9"/>
    </x:row>
    <x:row r="69">
      <x:c r="A69" s="9"/>
      <x:c r="B69" s="9"/>
      <x:c r="C69" s="9"/>
      <x:c r="D69" s="9"/>
      <x:c r="E69" s="9"/>
      <x:c r="F69" s="9"/>
      <x:c r="G69" s="9"/>
      <x:c r="H69" s="9"/>
      <x:c r="I69" s="9"/>
      <x:c r="J69" s="9"/>
      <x:c r="K69" s="9"/>
      <x:c r="L69" s="9"/>
    </x:row>
    <x:row r="70">
      <x:c r="A70" s="9"/>
      <x:c r="B70" s="9"/>
      <x:c r="C70" s="9"/>
      <x:c r="D70" s="9"/>
      <x:c r="E70" s="9"/>
      <x:c r="F70" s="9"/>
      <x:c r="G70" s="9"/>
      <x:c r="H70" s="9"/>
      <x:c r="I70" s="9"/>
      <x:c r="J70" s="9"/>
      <x:c r="K70" s="9"/>
      <x:c r="L70" s="9"/>
    </x:row>
    <x:row r="71">
      <x:c r="A71" s="9"/>
      <x:c r="B71" s="9"/>
      <x:c r="C71" s="9"/>
      <x:c r="D71" s="9"/>
      <x:c r="E71" s="9"/>
      <x:c r="F71" s="9"/>
      <x:c r="G71" s="9"/>
      <x:c r="H71" s="9"/>
      <x:c r="I71" s="9"/>
      <x:c r="J71" s="9"/>
      <x:c r="K71" s="9"/>
      <x:c r="L71" s="9"/>
    </x:row>
    <x:row r="72">
      <x:c r="A72" s="9"/>
      <x:c r="B72" s="9"/>
      <x:c r="C72" s="9"/>
      <x:c r="D72" s="9"/>
      <x:c r="E72" s="9"/>
      <x:c r="F72" s="9"/>
      <x:c r="G72" s="9"/>
      <x:c r="H72" s="9"/>
      <x:c r="I72" s="9"/>
      <x:c r="J72" s="9"/>
      <x:c r="K72" s="9"/>
      <x:c r="L72" s="9"/>
    </x:row>
    <x:row r="73">
      <x:c r="A73" s="9"/>
      <x:c r="B73" s="9"/>
      <x:c r="C73" s="9"/>
      <x:c r="D73" s="9"/>
      <x:c r="E73" s="9"/>
      <x:c r="F73" s="9"/>
      <x:c r="G73" s="9"/>
      <x:c r="H73" s="9"/>
      <x:c r="I73" s="9"/>
      <x:c r="J73" s="9"/>
      <x:c r="K73" s="9"/>
      <x:c r="L73" s="9"/>
    </x:row>
    <x:row r="74">
      <x:c r="A74" s="9"/>
      <x:c r="B74" s="9"/>
      <x:c r="C74" s="9"/>
      <x:c r="D74" s="9"/>
      <x:c r="E74" s="9"/>
      <x:c r="F74" s="9"/>
      <x:c r="G74" s="9"/>
      <x:c r="H74" s="9"/>
      <x:c r="I74" s="9"/>
      <x:c r="J74" s="9"/>
      <x:c r="K74" s="9"/>
      <x:c r="L74" s="9"/>
    </x:row>
    <x:row r="75">
      <x:c r="A75" s="9"/>
      <x:c r="B75" s="9"/>
      <x:c r="C75" s="9"/>
      <x:c r="D75" s="9"/>
      <x:c r="E75" s="9"/>
      <x:c r="F75" s="9"/>
      <x:c r="G75" s="9"/>
      <x:c r="H75" s="9"/>
      <x:c r="I75" s="9"/>
      <x:c r="J75" s="9"/>
      <x:c r="K75" s="9"/>
      <x:c r="L75" s="9"/>
    </x:row>
    <x:row r="76">
      <x:c r="A76" s="9"/>
      <x:c r="B76" s="9"/>
      <x:c r="C76" s="9"/>
      <x:c r="D76" s="9"/>
      <x:c r="E76" s="9"/>
      <x:c r="F76" s="9"/>
      <x:c r="G76" s="9"/>
      <x:c r="H76" s="9"/>
      <x:c r="I76" s="9"/>
      <x:c r="J76" s="9"/>
      <x:c r="K76" s="9"/>
      <x:c r="L76" s="9"/>
    </x:row>
    <x:row r="77">
      <x:c r="A77" s="9"/>
      <x:c r="B77" s="9"/>
      <x:c r="C77" s="9"/>
      <x:c r="D77" s="9"/>
      <x:c r="E77" s="9"/>
      <x:c r="F77" s="9"/>
      <x:c r="G77" s="9"/>
      <x:c r="H77" s="9"/>
      <x:c r="I77" s="9"/>
      <x:c r="J77" s="9"/>
      <x:c r="K77" s="9"/>
      <x:c r="L77" s="9"/>
    </x:row>
    <x:row r="78">
      <x:c r="A78" s="9"/>
      <x:c r="B78" s="9"/>
      <x:c r="C78" s="9"/>
      <x:c r="D78" s="9"/>
      <x:c r="E78" s="9"/>
      <x:c r="F78" s="9"/>
      <x:c r="G78" s="9"/>
      <x:c r="H78" s="9"/>
      <x:c r="I78" s="9"/>
      <x:c r="J78" s="9"/>
      <x:c r="K78" s="9"/>
      <x:c r="L78" s="9"/>
    </x:row>
    <x:row r="79">
      <x:c r="A79" s="9"/>
      <x:c r="B79" s="9"/>
      <x:c r="C79" s="9"/>
      <x:c r="D79" s="9"/>
      <x:c r="E79" s="9"/>
      <x:c r="F79" s="9"/>
      <x:c r="G79" s="9"/>
      <x:c r="H79" s="9"/>
      <x:c r="I79" s="9"/>
      <x:c r="J79" s="9"/>
      <x:c r="K79" s="9"/>
      <x:c r="L79" s="9"/>
    </x:row>
    <x:row r="80">
      <x:c r="A80" s="9"/>
      <x:c r="B80" s="9"/>
      <x:c r="C80" s="9"/>
      <x:c r="D80" s="9"/>
      <x:c r="E80" s="9"/>
      <x:c r="F80" s="9"/>
      <x:c r="G80" s="9"/>
      <x:c r="H80" s="9"/>
      <x:c r="I80" s="9"/>
      <x:c r="J80" s="9"/>
      <x:c r="K80" s="9"/>
      <x:c r="L80" s="9"/>
    </x:row>
  </x:sheetData>
  <x:mergeCells>
    <x:mergeCell ref="A1:L1"/>
    <x:mergeCell ref="A2:L2"/>
  </x:mergeCells>
  <x:pageMargins left="0.7" right="0.7" top="0.75" bottom="0.75" header="0.3" footer="0.3"/>
  <x:drawing xmlns:r="http://schemas.openxmlformats.org/officeDocument/2006/relationships" r:id="Re53b7e1a506b446f"/>
</x:worksheet>
</file>

<file path=xl/worksheets/sheet2.xml><?xml version="1.0" encoding="utf-8"?>
<x:worksheet xmlns:x="http://schemas.openxmlformats.org/spreadsheetml/2006/main">
  <x:sheetPr>
    <x:tabColor rgb="FF1F6E8C"/>
  </x:sheetPr>
  <x:sheetViews>
    <x:sheetView showGridLines="0" workbookViewId="0">
      <x:pane ySplit="8" topLeftCell="A9" activePane="bottomLeft" state="frozen"/>
    </x:sheetView>
  </x:sheetViews>
  <x:sheetFormatPr defaultRowHeight="15"/>
  <x:cols>
    <x:col min="1" max="1" width="22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</x:cols>
  <x:sheetData>
    <x:row r="1" ht="22" customHeight="1">
      <x:c r="A1" s="5" t="str">
        <x:v>Forecast Assumptions</x:v>
      </x:c>
      <x:c r="B1" s="9"/>
      <x:c r="C1" s="9"/>
      <x:c r="D1" s="9"/>
      <x:c r="E1" s="9"/>
      <x:c r="F1" s="9"/>
      <x:c r="G1" s="9"/>
      <x:c r="H1" s="9"/>
      <x:c r="I1" s="9"/>
      <x:c r="J1" s="9"/>
      <x:c r="K1" s="9"/>
      <x:c r="L1" s="9"/>
    </x:row>
    <x:row r="2" ht="22" customHeight="1">
      <x:c r="A2" s="10" t="str">
        <x:v>Campos em amarelo podem ser alterados. Dados fictícios.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</x:row>
    <x:row r="3">
      <x:c r="A3" s="11"/>
      <x:c r="B3" s="11"/>
      <x:c r="C3" s="11"/>
      <x:c r="D3" s="11"/>
      <x:c r="E3" s="11"/>
      <x:c r="F3" s="11"/>
      <x:c r="G3" s="11"/>
      <x:c r="H3" s="11"/>
      <x:c r="I3" s="11"/>
      <x:c r="J3" s="11"/>
      <x:c r="K3" s="11"/>
      <x:c r="L3" s="11"/>
    </x:row>
    <x:row r="4">
      <x:c r="A4" s="9"/>
      <x:c r="B4" s="9"/>
      <x:c r="C4" s="9"/>
      <x:c r="D4" s="9"/>
      <x:c r="E4" s="9"/>
      <x:c r="F4" s="9"/>
      <x:c r="G4" s="9"/>
      <x:c r="H4" s="9"/>
      <x:c r="I4" s="9"/>
      <x:c r="J4" s="9"/>
      <x:c r="K4" s="9"/>
      <x:c r="L4" s="9"/>
    </x:row>
    <x:row r="5">
      <x:c r="A5" s="9" t="str">
        <x:v>Cenário (1=Base / 2=Conservador)</x:v>
      </x:c>
      <x:c r="B5" s="45" t="n">
        <x:v>1</x:v>
      </x:c>
      <x:c r="C5" s="9"/>
      <x:c r="D5" s="9"/>
      <x:c r="E5" s="9"/>
      <x:c r="F5" s="9"/>
      <x:c r="G5" s="9"/>
      <x:c r="H5" s="9"/>
      <x:c r="I5" s="9"/>
      <x:c r="J5" s="9"/>
      <x:c r="K5" s="9"/>
      <x:c r="L5" s="9"/>
    </x:row>
    <x:row r="6">
      <x:c r="A6" s="9"/>
      <x:c r="B6" s="9"/>
      <x:c r="C6" s="9"/>
      <x:c r="D6" s="9"/>
      <x:c r="E6" s="9"/>
      <x:c r="F6" s="9"/>
      <x:c r="G6" s="9"/>
      <x:c r="H6" s="9"/>
      <x:c r="I6" s="9"/>
      <x:c r="J6" s="9"/>
      <x:c r="K6" s="9"/>
      <x:c r="L6" s="9"/>
    </x:row>
    <x:row r="7">
      <x:c r="A7" s="9"/>
      <x:c r="B7" s="9"/>
      <x:c r="C7" s="9"/>
      <x:c r="D7" s="9"/>
      <x:c r="E7" s="9"/>
      <x:c r="F7" s="9"/>
      <x:c r="G7" s="9"/>
      <x:c r="H7" s="9"/>
      <x:c r="I7" s="9"/>
      <x:c r="J7" s="9"/>
      <x:c r="K7" s="9"/>
      <x:c r="L7" s="9"/>
    </x:row>
    <x:row r="8">
      <x:c r="A8" s="35" t="str">
        <x:v>Driver</x:v>
      </x:c>
      <x:c r="B8" s="36" t="str">
        <x:v>Jan-27</x:v>
      </x:c>
      <x:c r="C8" s="36" t="str">
        <x:v>Feb-27</x:v>
      </x:c>
      <x:c r="D8" s="36" t="str">
        <x:v>Mar-27</x:v>
      </x:c>
      <x:c r="E8" s="36" t="str">
        <x:v>Apr-27</x:v>
      </x:c>
      <x:c r="F8" s="36" t="str">
        <x:v>May-27</x:v>
      </x:c>
      <x:c r="G8" s="36" t="str">
        <x:v>Jun-27</x:v>
      </x:c>
      <x:c r="H8" s="36" t="str">
        <x:v>Jul-27</x:v>
      </x:c>
      <x:c r="I8" s="36" t="str">
        <x:v>Aug-27</x:v>
      </x:c>
      <x:c r="J8" s="36" t="str">
        <x:v>Sep-27</x:v>
      </x:c>
      <x:c r="K8" s="36" t="str">
        <x:v>Oct-27</x:v>
      </x:c>
      <x:c r="L8" s="36" t="str">
        <x:v>Nov-27</x:v>
      </x:c>
      <x:c r="M8" s="37" t="str">
        <x:v>Dec-27</x:v>
      </x:c>
    </x:row>
    <x:row r="9">
      <x:c r="A9" s="38" t="str">
        <x:v>Crescimento receita — Base</x:v>
      </x:c>
      <x:c r="B9" s="52" t="n">
        <x:v>0.05</x:v>
      </x:c>
      <x:c r="C9" s="52" t="n">
        <x:v>0.05</x:v>
      </x:c>
      <x:c r="D9" s="52" t="n">
        <x:v>0.06</x:v>
      </x:c>
      <x:c r="E9" s="52" t="n">
        <x:v>0.06</x:v>
      </x:c>
      <x:c r="F9" s="52" t="n">
        <x:v>0.07</x:v>
      </x:c>
      <x:c r="G9" s="52" t="n">
        <x:v>0.07</x:v>
      </x:c>
      <x:c r="H9" s="52" t="n">
        <x:v>0.07</x:v>
      </x:c>
      <x:c r="I9" s="52" t="n">
        <x:v>0.07</x:v>
      </x:c>
      <x:c r="J9" s="52" t="n">
        <x:v>0.08</x:v>
      </x:c>
      <x:c r="K9" s="52" t="n">
        <x:v>0.08</x:v>
      </x:c>
      <x:c r="L9" s="52" t="n">
        <x:v>0.08</x:v>
      </x:c>
      <x:c r="M9" s="61" t="n">
        <x:v>0.09</x:v>
      </x:c>
    </x:row>
    <x:row r="10">
      <x:c r="A10" s="38" t="str">
        <x:v>Crescimento receita — Conservador</x:v>
      </x:c>
      <x:c r="B10" s="52" t="n">
        <x:v>0.02</x:v>
      </x:c>
      <x:c r="C10" s="52" t="n">
        <x:v>0.02</x:v>
      </x:c>
      <x:c r="D10" s="52" t="n">
        <x:v>0.03</x:v>
      </x:c>
      <x:c r="E10" s="52" t="n">
        <x:v>0.03</x:v>
      </x:c>
      <x:c r="F10" s="52" t="n">
        <x:v>0.04</x:v>
      </x:c>
      <x:c r="G10" s="52" t="n">
        <x:v>0.04</x:v>
      </x:c>
      <x:c r="H10" s="52" t="n">
        <x:v>0.04</x:v>
      </x:c>
      <x:c r="I10" s="52" t="n">
        <x:v>0.04</x:v>
      </x:c>
      <x:c r="J10" s="52" t="n">
        <x:v>0.05</x:v>
      </x:c>
      <x:c r="K10" s="52" t="n">
        <x:v>0.05</x:v>
      </x:c>
      <x:c r="L10" s="52" t="n">
        <x:v>0.05</x:v>
      </x:c>
      <x:c r="M10" s="61" t="n">
        <x:v>0.06</x:v>
      </x:c>
    </x:row>
    <x:row r="11">
      <x:c r="A11" s="38" t="str">
        <x:v>Crescimento ativo</x:v>
      </x:c>
      <x:c r="B11" s="49" t="n">
        <x:f>CHOOSE($B$5,B9,B10)</x:f>
        <x:v>0.05</x:v>
      </x:c>
      <x:c r="C11" s="49" t="n">
        <x:f>CHOOSE($B$5,C9,C10)</x:f>
        <x:v>0.05</x:v>
      </x:c>
      <x:c r="D11" s="49" t="n">
        <x:f>CHOOSE($B$5,D9,D10)</x:f>
        <x:v>0.06</x:v>
      </x:c>
      <x:c r="E11" s="49" t="n">
        <x:f>CHOOSE($B$5,E9,E10)</x:f>
        <x:v>0.06</x:v>
      </x:c>
      <x:c r="F11" s="49" t="n">
        <x:f>CHOOSE($B$5,F9,F10)</x:f>
        <x:v>0.07</x:v>
      </x:c>
      <x:c r="G11" s="49" t="n">
        <x:f>CHOOSE($B$5,G9,G10)</x:f>
        <x:v>0.07</x:v>
      </x:c>
      <x:c r="H11" s="49" t="n">
        <x:f>CHOOSE($B$5,H9,H10)</x:f>
        <x:v>0.07</x:v>
      </x:c>
      <x:c r="I11" s="49" t="n">
        <x:f>CHOOSE($B$5,I9,I10)</x:f>
        <x:v>0.07</x:v>
      </x:c>
      <x:c r="J11" s="49" t="n">
        <x:f>CHOOSE($B$5,J9,J10)</x:f>
        <x:v>0.08</x:v>
      </x:c>
      <x:c r="K11" s="49" t="n">
        <x:f>CHOOSE($B$5,K9,K10)</x:f>
        <x:v>0.08</x:v>
      </x:c>
      <x:c r="L11" s="49" t="n">
        <x:f>CHOOSE($B$5,L9,L10)</x:f>
        <x:v>0.08</x:v>
      </x:c>
      <x:c r="M11" s="62" t="n">
        <x:f>CHOOSE($B$5,M9,M10)</x:f>
        <x:v>0.09</x:v>
      </x:c>
    </x:row>
    <x:row r="12">
      <x:c r="A12" s="38"/>
      <x:c r="B12" s="49"/>
      <x:c r="C12" s="49"/>
      <x:c r="D12" s="49"/>
      <x:c r="E12" s="49"/>
      <x:c r="F12" s="49"/>
      <x:c r="G12" s="49"/>
      <x:c r="H12" s="49"/>
      <x:c r="I12" s="49"/>
      <x:c r="J12" s="49"/>
      <x:c r="K12" s="49"/>
      <x:c r="L12" s="49"/>
      <x:c r="M12" s="62"/>
    </x:row>
    <x:row r="13">
      <x:c r="A13" s="38" t="str">
        <x:v>Margem bruta — Base</x:v>
      </x:c>
      <x:c r="B13" s="52" t="n">
        <x:v>0.64</x:v>
      </x:c>
      <x:c r="C13" s="52" t="n">
        <x:v>0.64</x:v>
      </x:c>
      <x:c r="D13" s="52" t="n">
        <x:v>0.64</x:v>
      </x:c>
      <x:c r="E13" s="52" t="n">
        <x:v>0.64</x:v>
      </x:c>
      <x:c r="F13" s="52" t="n">
        <x:v>0.64</x:v>
      </x:c>
      <x:c r="G13" s="52" t="n">
        <x:v>0.64</x:v>
      </x:c>
      <x:c r="H13" s="52" t="n">
        <x:v>0.64</x:v>
      </x:c>
      <x:c r="I13" s="52" t="n">
        <x:v>0.64</x:v>
      </x:c>
      <x:c r="J13" s="52" t="n">
        <x:v>0.64</x:v>
      </x:c>
      <x:c r="K13" s="52" t="n">
        <x:v>0.64</x:v>
      </x:c>
      <x:c r="L13" s="52" t="n">
        <x:v>0.64</x:v>
      </x:c>
      <x:c r="M13" s="61" t="n">
        <x:v>0.64</x:v>
      </x:c>
    </x:row>
    <x:row r="14">
      <x:c r="A14" s="38" t="str">
        <x:v>Margem bruta — Conservador</x:v>
      </x:c>
      <x:c r="B14" s="52" t="n">
        <x:v>0.6</x:v>
      </x:c>
      <x:c r="C14" s="52" t="n">
        <x:v>0.6</x:v>
      </x:c>
      <x:c r="D14" s="52" t="n">
        <x:v>0.6</x:v>
      </x:c>
      <x:c r="E14" s="52" t="n">
        <x:v>0.6</x:v>
      </x:c>
      <x:c r="F14" s="52" t="n">
        <x:v>0.6</x:v>
      </x:c>
      <x:c r="G14" s="52" t="n">
        <x:v>0.6</x:v>
      </x:c>
      <x:c r="H14" s="52" t="n">
        <x:v>0.6</x:v>
      </x:c>
      <x:c r="I14" s="52" t="n">
        <x:v>0.6</x:v>
      </x:c>
      <x:c r="J14" s="52" t="n">
        <x:v>0.6</x:v>
      </x:c>
      <x:c r="K14" s="52" t="n">
        <x:v>0.6</x:v>
      </x:c>
      <x:c r="L14" s="52" t="n">
        <x:v>0.6</x:v>
      </x:c>
      <x:c r="M14" s="61" t="n">
        <x:v>0.6</x:v>
      </x:c>
    </x:row>
    <x:row r="15">
      <x:c r="A15" s="38" t="str">
        <x:v>Margem bruta ativa</x:v>
      </x:c>
      <x:c r="B15" s="49" t="n">
        <x:f>CHOOSE($B$5,B13,B14)</x:f>
        <x:v>0.64</x:v>
      </x:c>
      <x:c r="C15" s="49" t="n">
        <x:f>CHOOSE($B$5,C13,C14)</x:f>
        <x:v>0.64</x:v>
      </x:c>
      <x:c r="D15" s="49" t="n">
        <x:f>CHOOSE($B$5,D13,D14)</x:f>
        <x:v>0.64</x:v>
      </x:c>
      <x:c r="E15" s="49" t="n">
        <x:f>CHOOSE($B$5,E13,E14)</x:f>
        <x:v>0.64</x:v>
      </x:c>
      <x:c r="F15" s="49" t="n">
        <x:f>CHOOSE($B$5,F13,F14)</x:f>
        <x:v>0.64</x:v>
      </x:c>
      <x:c r="G15" s="49" t="n">
        <x:f>CHOOSE($B$5,G13,G14)</x:f>
        <x:v>0.64</x:v>
      </x:c>
      <x:c r="H15" s="49" t="n">
        <x:f>CHOOSE($B$5,H13,H14)</x:f>
        <x:v>0.64</x:v>
      </x:c>
      <x:c r="I15" s="49" t="n">
        <x:f>CHOOSE($B$5,I13,I14)</x:f>
        <x:v>0.64</x:v>
      </x:c>
      <x:c r="J15" s="49" t="n">
        <x:f>CHOOSE($B$5,J13,J14)</x:f>
        <x:v>0.64</x:v>
      </x:c>
      <x:c r="K15" s="49" t="n">
        <x:f>CHOOSE($B$5,K13,K14)</x:f>
        <x:v>0.64</x:v>
      </x:c>
      <x:c r="L15" s="49" t="n">
        <x:f>CHOOSE($B$5,L13,L14)</x:f>
        <x:v>0.64</x:v>
      </x:c>
      <x:c r="M15" s="62" t="n">
        <x:f>CHOOSE($B$5,M13,M14)</x:f>
        <x:v>0.64</x:v>
      </x:c>
    </x:row>
    <x:row r="16">
      <x:c r="A16" s="38"/>
      <x:c r="B16" s="9"/>
      <x:c r="C16" s="9"/>
      <x:c r="D16" s="9"/>
      <x:c r="E16" s="9"/>
      <x:c r="F16" s="9"/>
      <x:c r="G16" s="9"/>
      <x:c r="H16" s="9"/>
      <x:c r="I16" s="9"/>
      <x:c r="J16" s="9"/>
      <x:c r="K16" s="9"/>
      <x:c r="L16" s="9"/>
      <x:c r="M16" s="63"/>
    </x:row>
    <x:row r="17">
      <x:c r="A17" s="38" t="str">
        <x:v>Opex fixo — Base</x:v>
      </x:c>
      <x:c r="B17" s="54" t="n">
        <x:v>72000</x:v>
      </x:c>
      <x:c r="C17" s="54" t="n">
        <x:v>72000</x:v>
      </x:c>
      <x:c r="D17" s="54" t="n">
        <x:v>72000</x:v>
      </x:c>
      <x:c r="E17" s="54" t="n">
        <x:v>72000</x:v>
      </x:c>
      <x:c r="F17" s="54" t="n">
        <x:v>72000</x:v>
      </x:c>
      <x:c r="G17" s="54" t="n">
        <x:v>72000</x:v>
      </x:c>
      <x:c r="H17" s="54" t="n">
        <x:v>72000</x:v>
      </x:c>
      <x:c r="I17" s="54" t="n">
        <x:v>72000</x:v>
      </x:c>
      <x:c r="J17" s="54" t="n">
        <x:v>72000</x:v>
      </x:c>
      <x:c r="K17" s="54" t="n">
        <x:v>72000</x:v>
      </x:c>
      <x:c r="L17" s="54" t="n">
        <x:v>72000</x:v>
      </x:c>
      <x:c r="M17" s="64" t="n">
        <x:v>72000</x:v>
      </x:c>
    </x:row>
    <x:row r="18">
      <x:c r="A18" s="38" t="str">
        <x:v>Opex fixo — Conservador</x:v>
      </x:c>
      <x:c r="B18" s="54" t="n">
        <x:v>68000</x:v>
      </x:c>
      <x:c r="C18" s="54" t="n">
        <x:v>68000</x:v>
      </x:c>
      <x:c r="D18" s="54" t="n">
        <x:v>68000</x:v>
      </x:c>
      <x:c r="E18" s="54" t="n">
        <x:v>68000</x:v>
      </x:c>
      <x:c r="F18" s="54" t="n">
        <x:v>68000</x:v>
      </x:c>
      <x:c r="G18" s="54" t="n">
        <x:v>68000</x:v>
      </x:c>
      <x:c r="H18" s="54" t="n">
        <x:v>68000</x:v>
      </x:c>
      <x:c r="I18" s="54" t="n">
        <x:v>68000</x:v>
      </x:c>
      <x:c r="J18" s="54" t="n">
        <x:v>68000</x:v>
      </x:c>
      <x:c r="K18" s="54" t="n">
        <x:v>68000</x:v>
      </x:c>
      <x:c r="L18" s="54" t="n">
        <x:v>68000</x:v>
      </x:c>
      <x:c r="M18" s="64" t="n">
        <x:v>68000</x:v>
      </x:c>
    </x:row>
    <x:row r="19">
      <x:c r="A19" s="40" t="str">
        <x:v>Opex fixo ativo</x:v>
      </x:c>
      <x:c r="B19" s="41" t="n">
        <x:f>CHOOSE($B$5,B17,B18)</x:f>
        <x:v>72000</x:v>
      </x:c>
      <x:c r="C19" s="41" t="n">
        <x:f>CHOOSE($B$5,C17,C18)</x:f>
        <x:v>72000</x:v>
      </x:c>
      <x:c r="D19" s="41" t="n">
        <x:f>CHOOSE($B$5,D17,D18)</x:f>
        <x:v>72000</x:v>
      </x:c>
      <x:c r="E19" s="41" t="n">
        <x:f>CHOOSE($B$5,E17,E18)</x:f>
        <x:v>72000</x:v>
      </x:c>
      <x:c r="F19" s="41" t="n">
        <x:f>CHOOSE($B$5,F17,F18)</x:f>
        <x:v>72000</x:v>
      </x:c>
      <x:c r="G19" s="41" t="n">
        <x:f>CHOOSE($B$5,G17,G18)</x:f>
        <x:v>72000</x:v>
      </x:c>
      <x:c r="H19" s="41" t="n">
        <x:f>CHOOSE($B$5,H17,H18)</x:f>
        <x:v>72000</x:v>
      </x:c>
      <x:c r="I19" s="41" t="n">
        <x:f>CHOOSE($B$5,I17,I18)</x:f>
        <x:v>72000</x:v>
      </x:c>
      <x:c r="J19" s="41" t="n">
        <x:f>CHOOSE($B$5,J17,J18)</x:f>
        <x:v>72000</x:v>
      </x:c>
      <x:c r="K19" s="41" t="n">
        <x:f>CHOOSE($B$5,K17,K18)</x:f>
        <x:v>72000</x:v>
      </x:c>
      <x:c r="L19" s="41" t="n">
        <x:f>CHOOSE($B$5,L17,L18)</x:f>
        <x:v>72000</x:v>
      </x:c>
      <x:c r="M19" s="65" t="n">
        <x:f>CHOOSE($B$5,M17,M18)</x:f>
        <x:v>72000</x:v>
      </x:c>
    </x:row>
    <x:row r="20">
      <x:c r="A20" s="9"/>
      <x:c r="B20" s="9"/>
      <x:c r="C20" s="9"/>
      <x:c r="D20" s="9"/>
      <x:c r="E20" s="9"/>
      <x:c r="F20" s="9"/>
      <x:c r="G20" s="9"/>
      <x:c r="H20" s="9"/>
      <x:c r="I20" s="9"/>
      <x:c r="J20" s="9"/>
      <x:c r="K20" s="9"/>
      <x:c r="L20" s="9"/>
    </x:row>
    <x:row r="21">
      <x:c r="A21" s="9"/>
      <x:c r="B21" s="9"/>
      <x:c r="C21" s="9"/>
      <x:c r="D21" s="9"/>
      <x:c r="E21" s="9"/>
      <x:c r="F21" s="9"/>
      <x:c r="G21" s="9"/>
      <x:c r="H21" s="9"/>
      <x:c r="I21" s="9"/>
      <x:c r="J21" s="9"/>
      <x:c r="K21" s="9"/>
      <x:c r="L21" s="9"/>
    </x:row>
    <x:row r="22">
      <x:c r="A22" s="9"/>
      <x:c r="B22" s="9"/>
      <x:c r="C22" s="9"/>
      <x:c r="D22" s="9"/>
      <x:c r="E22" s="9"/>
      <x:c r="F22" s="9"/>
      <x:c r="G22" s="9"/>
      <x:c r="H22" s="9"/>
      <x:c r="I22" s="9"/>
      <x:c r="J22" s="9"/>
      <x:c r="K22" s="9"/>
      <x:c r="L22" s="9"/>
    </x:row>
    <x:row r="23">
      <x:c r="A23" s="9"/>
      <x:c r="B23" s="9"/>
      <x:c r="C23" s="9"/>
      <x:c r="D23" s="9"/>
      <x:c r="E23" s="9"/>
      <x:c r="F23" s="9"/>
      <x:c r="G23" s="9"/>
      <x:c r="H23" s="9"/>
      <x:c r="I23" s="9"/>
      <x:c r="J23" s="9"/>
      <x:c r="K23" s="9"/>
      <x:c r="L23" s="9"/>
    </x:row>
    <x:row r="24">
      <x:c r="A24" s="9"/>
      <x:c r="B24" s="9"/>
      <x:c r="C24" s="9"/>
      <x:c r="D24" s="9"/>
      <x:c r="E24" s="9"/>
      <x:c r="F24" s="9"/>
      <x:c r="G24" s="9"/>
      <x:c r="H24" s="9"/>
      <x:c r="I24" s="9"/>
      <x:c r="J24" s="9"/>
      <x:c r="K24" s="9"/>
      <x:c r="L24" s="9"/>
    </x:row>
    <x:row r="25">
      <x:c r="A25" s="9"/>
      <x:c r="B25" s="9"/>
      <x:c r="C25" s="9"/>
      <x:c r="D25" s="9"/>
      <x:c r="E25" s="9"/>
      <x:c r="F25" s="9"/>
      <x:c r="G25" s="9"/>
      <x:c r="H25" s="9"/>
      <x:c r="I25" s="9"/>
      <x:c r="J25" s="9"/>
      <x:c r="K25" s="9"/>
      <x:c r="L25" s="9"/>
    </x:row>
    <x:row r="26">
      <x:c r="A26" s="9"/>
      <x:c r="B26" s="9"/>
      <x:c r="C26" s="9"/>
      <x:c r="D26" s="9"/>
      <x:c r="E26" s="9"/>
      <x:c r="F26" s="9"/>
      <x:c r="G26" s="9"/>
      <x:c r="H26" s="9"/>
      <x:c r="I26" s="9"/>
      <x:c r="J26" s="9"/>
      <x:c r="K26" s="9"/>
      <x:c r="L26" s="9"/>
    </x:row>
    <x:row r="27">
      <x:c r="A27" s="9"/>
      <x:c r="B27" s="9"/>
      <x:c r="C27" s="9"/>
      <x:c r="D27" s="9"/>
      <x:c r="E27" s="9"/>
      <x:c r="F27" s="9"/>
      <x:c r="G27" s="9"/>
      <x:c r="H27" s="9"/>
      <x:c r="I27" s="9"/>
      <x:c r="J27" s="9"/>
      <x:c r="K27" s="9"/>
      <x:c r="L27" s="9"/>
    </x:row>
    <x:row r="28">
      <x:c r="A28" s="9"/>
      <x:c r="B28" s="9"/>
      <x:c r="C28" s="9"/>
      <x:c r="D28" s="9"/>
      <x:c r="E28" s="9"/>
      <x:c r="F28" s="9"/>
      <x:c r="G28" s="9"/>
      <x:c r="H28" s="9"/>
      <x:c r="I28" s="9"/>
      <x:c r="J28" s="9"/>
      <x:c r="K28" s="9"/>
      <x:c r="L28" s="9"/>
    </x:row>
    <x:row r="29">
      <x:c r="A29" s="9"/>
      <x:c r="B29" s="9"/>
      <x:c r="C29" s="9"/>
      <x:c r="D29" s="9"/>
      <x:c r="E29" s="9"/>
      <x:c r="F29" s="9"/>
      <x:c r="G29" s="9"/>
      <x:c r="H29" s="9"/>
      <x:c r="I29" s="9"/>
      <x:c r="J29" s="9"/>
      <x:c r="K29" s="9"/>
      <x:c r="L29" s="9"/>
    </x:row>
    <x:row r="30">
      <x:c r="A30" s="9"/>
      <x:c r="B30" s="9"/>
      <x:c r="C30" s="9"/>
      <x:c r="D30" s="9"/>
      <x:c r="E30" s="9"/>
      <x:c r="F30" s="9"/>
      <x:c r="G30" s="9"/>
      <x:c r="H30" s="9"/>
      <x:c r="I30" s="9"/>
      <x:c r="J30" s="9"/>
      <x:c r="K30" s="9"/>
      <x:c r="L30" s="9"/>
    </x:row>
    <x:row r="31">
      <x:c r="A31" s="9"/>
      <x:c r="B31" s="9"/>
      <x:c r="C31" s="9"/>
      <x:c r="D31" s="9"/>
      <x:c r="E31" s="9"/>
      <x:c r="F31" s="9"/>
      <x:c r="G31" s="9"/>
      <x:c r="H31" s="9"/>
      <x:c r="I31" s="9"/>
      <x:c r="J31" s="9"/>
      <x:c r="K31" s="9"/>
      <x:c r="L31" s="9"/>
    </x:row>
    <x:row r="32">
      <x:c r="A32" s="9"/>
      <x:c r="B32" s="9"/>
      <x:c r="C32" s="9"/>
      <x:c r="D32" s="9"/>
      <x:c r="E32" s="9"/>
      <x:c r="F32" s="9"/>
      <x:c r="G32" s="9"/>
      <x:c r="H32" s="9"/>
      <x:c r="I32" s="9"/>
      <x:c r="J32" s="9"/>
      <x:c r="K32" s="9"/>
      <x:c r="L32" s="9"/>
    </x:row>
    <x:row r="33">
      <x:c r="A33" s="9"/>
      <x:c r="B33" s="9"/>
      <x:c r="C33" s="9"/>
      <x:c r="D33" s="9"/>
      <x:c r="E33" s="9"/>
      <x:c r="F33" s="9"/>
      <x:c r="G33" s="9"/>
      <x:c r="H33" s="9"/>
      <x:c r="I33" s="9"/>
      <x:c r="J33" s="9"/>
      <x:c r="K33" s="9"/>
      <x:c r="L33" s="9"/>
    </x:row>
    <x:row r="34">
      <x:c r="A34" s="9"/>
      <x:c r="B34" s="9"/>
      <x:c r="C34" s="9"/>
      <x:c r="D34" s="9"/>
      <x:c r="E34" s="9"/>
      <x:c r="F34" s="9"/>
      <x:c r="G34" s="9"/>
      <x:c r="H34" s="9"/>
      <x:c r="I34" s="9"/>
      <x:c r="J34" s="9"/>
      <x:c r="K34" s="9"/>
      <x:c r="L34" s="9"/>
    </x:row>
    <x:row r="35">
      <x:c r="A35" s="9"/>
      <x:c r="B35" s="9"/>
      <x:c r="C35" s="9"/>
      <x:c r="D35" s="9"/>
      <x:c r="E35" s="9"/>
      <x:c r="F35" s="9"/>
      <x:c r="G35" s="9"/>
      <x:c r="H35" s="9"/>
      <x:c r="I35" s="9"/>
      <x:c r="J35" s="9"/>
      <x:c r="K35" s="9"/>
      <x:c r="L35" s="9"/>
    </x:row>
    <x:row r="36">
      <x:c r="A36" s="9"/>
      <x:c r="B36" s="9"/>
      <x:c r="C36" s="9"/>
      <x:c r="D36" s="9"/>
      <x:c r="E36" s="9"/>
      <x:c r="F36" s="9"/>
      <x:c r="G36" s="9"/>
      <x:c r="H36" s="9"/>
      <x:c r="I36" s="9"/>
      <x:c r="J36" s="9"/>
      <x:c r="K36" s="9"/>
      <x:c r="L36" s="9"/>
    </x:row>
    <x:row r="37">
      <x:c r="A37" s="9"/>
      <x:c r="B37" s="9"/>
      <x:c r="C37" s="9"/>
      <x:c r="D37" s="9"/>
      <x:c r="E37" s="9"/>
      <x:c r="F37" s="9"/>
      <x:c r="G37" s="9"/>
      <x:c r="H37" s="9"/>
      <x:c r="I37" s="9"/>
      <x:c r="J37" s="9"/>
      <x:c r="K37" s="9"/>
      <x:c r="L37" s="9"/>
    </x:row>
    <x:row r="38">
      <x:c r="A38" s="9"/>
      <x:c r="B38" s="9"/>
      <x:c r="C38" s="9"/>
      <x:c r="D38" s="9"/>
      <x:c r="E38" s="9"/>
      <x:c r="F38" s="9"/>
      <x:c r="G38" s="9"/>
      <x:c r="H38" s="9"/>
      <x:c r="I38" s="9"/>
      <x:c r="J38" s="9"/>
      <x:c r="K38" s="9"/>
      <x:c r="L38" s="9"/>
    </x:row>
    <x:row r="39">
      <x:c r="A39" s="9"/>
      <x:c r="B39" s="9"/>
      <x:c r="C39" s="9"/>
      <x:c r="D39" s="9"/>
      <x:c r="E39" s="9"/>
      <x:c r="F39" s="9"/>
      <x:c r="G39" s="9"/>
      <x:c r="H39" s="9"/>
      <x:c r="I39" s="9"/>
      <x:c r="J39" s="9"/>
      <x:c r="K39" s="9"/>
      <x:c r="L39" s="9"/>
    </x:row>
    <x:row r="40">
      <x:c r="A40" s="9"/>
      <x:c r="B40" s="9"/>
      <x:c r="C40" s="9"/>
      <x:c r="D40" s="9"/>
      <x:c r="E40" s="9"/>
      <x:c r="F40" s="9"/>
      <x:c r="G40" s="9"/>
      <x:c r="H40" s="9"/>
      <x:c r="I40" s="9"/>
      <x:c r="J40" s="9"/>
      <x:c r="K40" s="9"/>
      <x:c r="L40" s="9"/>
    </x:row>
    <x:row r="41">
      <x:c r="A41" s="9"/>
      <x:c r="B41" s="9"/>
      <x:c r="C41" s="9"/>
      <x:c r="D41" s="9"/>
      <x:c r="E41" s="9"/>
      <x:c r="F41" s="9"/>
      <x:c r="G41" s="9"/>
      <x:c r="H41" s="9"/>
      <x:c r="I41" s="9"/>
      <x:c r="J41" s="9"/>
      <x:c r="K41" s="9"/>
      <x:c r="L41" s="9"/>
    </x:row>
    <x:row r="42">
      <x:c r="A42" s="9"/>
      <x:c r="B42" s="9"/>
      <x:c r="C42" s="9"/>
      <x:c r="D42" s="9"/>
      <x:c r="E42" s="9"/>
      <x:c r="F42" s="9"/>
      <x:c r="G42" s="9"/>
      <x:c r="H42" s="9"/>
      <x:c r="I42" s="9"/>
      <x:c r="J42" s="9"/>
      <x:c r="K42" s="9"/>
      <x:c r="L42" s="9"/>
    </x:row>
    <x:row r="43">
      <x:c r="A43" s="9"/>
      <x:c r="B43" s="9"/>
      <x:c r="C43" s="9"/>
      <x:c r="D43" s="9"/>
      <x:c r="E43" s="9"/>
      <x:c r="F43" s="9"/>
      <x:c r="G43" s="9"/>
      <x:c r="H43" s="9"/>
      <x:c r="I43" s="9"/>
      <x:c r="J43" s="9"/>
      <x:c r="K43" s="9"/>
      <x:c r="L43" s="9"/>
    </x:row>
    <x:row r="44">
      <x:c r="A44" s="9"/>
      <x:c r="B44" s="9"/>
      <x:c r="C44" s="9"/>
      <x:c r="D44" s="9"/>
      <x:c r="E44" s="9"/>
      <x:c r="F44" s="9"/>
      <x:c r="G44" s="9"/>
      <x:c r="H44" s="9"/>
      <x:c r="I44" s="9"/>
      <x:c r="J44" s="9"/>
      <x:c r="K44" s="9"/>
      <x:c r="L44" s="9"/>
    </x:row>
    <x:row r="45">
      <x:c r="A45" s="9"/>
      <x:c r="B45" s="9"/>
      <x:c r="C45" s="9"/>
      <x:c r="D45" s="9"/>
      <x:c r="E45" s="9"/>
      <x:c r="F45" s="9"/>
      <x:c r="G45" s="9"/>
      <x:c r="H45" s="9"/>
      <x:c r="I45" s="9"/>
      <x:c r="J45" s="9"/>
      <x:c r="K45" s="9"/>
      <x:c r="L45" s="9"/>
    </x:row>
    <x:row r="46">
      <x:c r="A46" s="9"/>
      <x:c r="B46" s="9"/>
      <x:c r="C46" s="9"/>
      <x:c r="D46" s="9"/>
      <x:c r="E46" s="9"/>
      <x:c r="F46" s="9"/>
      <x:c r="G46" s="9"/>
      <x:c r="H46" s="9"/>
      <x:c r="I46" s="9"/>
      <x:c r="J46" s="9"/>
      <x:c r="K46" s="9"/>
      <x:c r="L46" s="9"/>
    </x:row>
    <x:row r="47">
      <x:c r="A47" s="9"/>
      <x:c r="B47" s="9"/>
      <x:c r="C47" s="9"/>
      <x:c r="D47" s="9"/>
      <x:c r="E47" s="9"/>
      <x:c r="F47" s="9"/>
      <x:c r="G47" s="9"/>
      <x:c r="H47" s="9"/>
      <x:c r="I47" s="9"/>
      <x:c r="J47" s="9"/>
      <x:c r="K47" s="9"/>
      <x:c r="L47" s="9"/>
    </x:row>
    <x:row r="48">
      <x:c r="A48" s="9"/>
      <x:c r="B48" s="9"/>
      <x:c r="C48" s="9"/>
      <x:c r="D48" s="9"/>
      <x:c r="E48" s="9"/>
      <x:c r="F48" s="9"/>
      <x:c r="G48" s="9"/>
      <x:c r="H48" s="9"/>
      <x:c r="I48" s="9"/>
      <x:c r="J48" s="9"/>
      <x:c r="K48" s="9"/>
      <x:c r="L48" s="9"/>
    </x:row>
    <x:row r="49">
      <x:c r="A49" s="9"/>
      <x:c r="B49" s="9"/>
      <x:c r="C49" s="9"/>
      <x:c r="D49" s="9"/>
      <x:c r="E49" s="9"/>
      <x:c r="F49" s="9"/>
      <x:c r="G49" s="9"/>
      <x:c r="H49" s="9"/>
      <x:c r="I49" s="9"/>
      <x:c r="J49" s="9"/>
      <x:c r="K49" s="9"/>
      <x:c r="L49" s="9"/>
    </x:row>
    <x:row r="50">
      <x:c r="A50" s="9"/>
      <x:c r="B50" s="9"/>
      <x:c r="C50" s="9"/>
      <x:c r="D50" s="9"/>
      <x:c r="E50" s="9"/>
      <x:c r="F50" s="9"/>
      <x:c r="G50" s="9"/>
      <x:c r="H50" s="9"/>
      <x:c r="I50" s="9"/>
      <x:c r="J50" s="9"/>
      <x:c r="K50" s="9"/>
      <x:c r="L50" s="9"/>
    </x:row>
    <x:row r="51">
      <x:c r="A51" s="9"/>
      <x:c r="B51" s="9"/>
      <x:c r="C51" s="9"/>
      <x:c r="D51" s="9"/>
      <x:c r="E51" s="9"/>
      <x:c r="F51" s="9"/>
      <x:c r="G51" s="9"/>
      <x:c r="H51" s="9"/>
      <x:c r="I51" s="9"/>
      <x:c r="J51" s="9"/>
      <x:c r="K51" s="9"/>
      <x:c r="L51" s="9"/>
    </x:row>
    <x:row r="52">
      <x:c r="A52" s="9"/>
      <x:c r="B52" s="9"/>
      <x:c r="C52" s="9"/>
      <x:c r="D52" s="9"/>
      <x:c r="E52" s="9"/>
      <x:c r="F52" s="9"/>
      <x:c r="G52" s="9"/>
      <x:c r="H52" s="9"/>
      <x:c r="I52" s="9"/>
      <x:c r="J52" s="9"/>
      <x:c r="K52" s="9"/>
      <x:c r="L52" s="9"/>
    </x:row>
    <x:row r="53">
      <x:c r="A53" s="9"/>
      <x:c r="B53" s="9"/>
      <x:c r="C53" s="9"/>
      <x:c r="D53" s="9"/>
      <x:c r="E53" s="9"/>
      <x:c r="F53" s="9"/>
      <x:c r="G53" s="9"/>
      <x:c r="H53" s="9"/>
      <x:c r="I53" s="9"/>
      <x:c r="J53" s="9"/>
      <x:c r="K53" s="9"/>
      <x:c r="L53" s="9"/>
    </x:row>
    <x:row r="54">
      <x:c r="A54" s="9"/>
      <x:c r="B54" s="9"/>
      <x:c r="C54" s="9"/>
      <x:c r="D54" s="9"/>
      <x:c r="E54" s="9"/>
      <x:c r="F54" s="9"/>
      <x:c r="G54" s="9"/>
      <x:c r="H54" s="9"/>
      <x:c r="I54" s="9"/>
      <x:c r="J54" s="9"/>
      <x:c r="K54" s="9"/>
      <x:c r="L54" s="9"/>
    </x:row>
    <x:row r="55">
      <x:c r="A55" s="9"/>
      <x:c r="B55" s="9"/>
      <x:c r="C55" s="9"/>
      <x:c r="D55" s="9"/>
      <x:c r="E55" s="9"/>
      <x:c r="F55" s="9"/>
      <x:c r="G55" s="9"/>
      <x:c r="H55" s="9"/>
      <x:c r="I55" s="9"/>
      <x:c r="J55" s="9"/>
      <x:c r="K55" s="9"/>
      <x:c r="L55" s="9"/>
    </x:row>
    <x:row r="56">
      <x:c r="A56" s="9"/>
      <x:c r="B56" s="9"/>
      <x:c r="C56" s="9"/>
      <x:c r="D56" s="9"/>
      <x:c r="E56" s="9"/>
      <x:c r="F56" s="9"/>
      <x:c r="G56" s="9"/>
      <x:c r="H56" s="9"/>
      <x:c r="I56" s="9"/>
      <x:c r="J56" s="9"/>
      <x:c r="K56" s="9"/>
      <x:c r="L56" s="9"/>
    </x:row>
    <x:row r="57">
      <x:c r="A57" s="9"/>
      <x:c r="B57" s="9"/>
      <x:c r="C57" s="9"/>
      <x:c r="D57" s="9"/>
      <x:c r="E57" s="9"/>
      <x:c r="F57" s="9"/>
      <x:c r="G57" s="9"/>
      <x:c r="H57" s="9"/>
      <x:c r="I57" s="9"/>
      <x:c r="J57" s="9"/>
      <x:c r="K57" s="9"/>
      <x:c r="L57" s="9"/>
    </x:row>
    <x:row r="58">
      <x:c r="A58" s="9"/>
      <x:c r="B58" s="9"/>
      <x:c r="C58" s="9"/>
      <x:c r="D58" s="9"/>
      <x:c r="E58" s="9"/>
      <x:c r="F58" s="9"/>
      <x:c r="G58" s="9"/>
      <x:c r="H58" s="9"/>
      <x:c r="I58" s="9"/>
      <x:c r="J58" s="9"/>
      <x:c r="K58" s="9"/>
      <x:c r="L58" s="9"/>
    </x:row>
    <x:row r="59">
      <x:c r="A59" s="9"/>
      <x:c r="B59" s="9"/>
      <x:c r="C59" s="9"/>
      <x:c r="D59" s="9"/>
      <x:c r="E59" s="9"/>
      <x:c r="F59" s="9"/>
      <x:c r="G59" s="9"/>
      <x:c r="H59" s="9"/>
      <x:c r="I59" s="9"/>
      <x:c r="J59" s="9"/>
      <x:c r="K59" s="9"/>
      <x:c r="L59" s="9"/>
    </x:row>
    <x:row r="60">
      <x:c r="A60" s="9"/>
      <x:c r="B60" s="9"/>
      <x:c r="C60" s="9"/>
      <x:c r="D60" s="9"/>
      <x:c r="E60" s="9"/>
      <x:c r="F60" s="9"/>
      <x:c r="G60" s="9"/>
      <x:c r="H60" s="9"/>
      <x:c r="I60" s="9"/>
      <x:c r="J60" s="9"/>
      <x:c r="K60" s="9"/>
      <x:c r="L60" s="9"/>
    </x:row>
    <x:row r="61">
      <x:c r="A61" s="9"/>
      <x:c r="B61" s="9"/>
      <x:c r="C61" s="9"/>
      <x:c r="D61" s="9"/>
      <x:c r="E61" s="9"/>
      <x:c r="F61" s="9"/>
      <x:c r="G61" s="9"/>
      <x:c r="H61" s="9"/>
      <x:c r="I61" s="9"/>
      <x:c r="J61" s="9"/>
      <x:c r="K61" s="9"/>
      <x:c r="L61" s="9"/>
    </x:row>
    <x:row r="62">
      <x:c r="A62" s="9"/>
      <x:c r="B62" s="9"/>
      <x:c r="C62" s="9"/>
      <x:c r="D62" s="9"/>
      <x:c r="E62" s="9"/>
      <x:c r="F62" s="9"/>
      <x:c r="G62" s="9"/>
      <x:c r="H62" s="9"/>
      <x:c r="I62" s="9"/>
      <x:c r="J62" s="9"/>
      <x:c r="K62" s="9"/>
      <x:c r="L62" s="9"/>
    </x:row>
    <x:row r="63">
      <x:c r="A63" s="9"/>
      <x:c r="B63" s="9"/>
      <x:c r="C63" s="9"/>
      <x:c r="D63" s="9"/>
      <x:c r="E63" s="9"/>
      <x:c r="F63" s="9"/>
      <x:c r="G63" s="9"/>
      <x:c r="H63" s="9"/>
      <x:c r="I63" s="9"/>
      <x:c r="J63" s="9"/>
      <x:c r="K63" s="9"/>
      <x:c r="L63" s="9"/>
    </x:row>
    <x:row r="64">
      <x:c r="A64" s="9"/>
      <x:c r="B64" s="9"/>
      <x:c r="C64" s="9"/>
      <x:c r="D64" s="9"/>
      <x:c r="E64" s="9"/>
      <x:c r="F64" s="9"/>
      <x:c r="G64" s="9"/>
      <x:c r="H64" s="9"/>
      <x:c r="I64" s="9"/>
      <x:c r="J64" s="9"/>
      <x:c r="K64" s="9"/>
      <x:c r="L64" s="9"/>
    </x:row>
    <x:row r="65">
      <x:c r="A65" s="9"/>
      <x:c r="B65" s="9"/>
      <x:c r="C65" s="9"/>
      <x:c r="D65" s="9"/>
      <x:c r="E65" s="9"/>
      <x:c r="F65" s="9"/>
      <x:c r="G65" s="9"/>
      <x:c r="H65" s="9"/>
      <x:c r="I65" s="9"/>
      <x:c r="J65" s="9"/>
      <x:c r="K65" s="9"/>
      <x:c r="L65" s="9"/>
    </x:row>
    <x:row r="66">
      <x:c r="A66" s="9"/>
      <x:c r="B66" s="9"/>
      <x:c r="C66" s="9"/>
      <x:c r="D66" s="9"/>
      <x:c r="E66" s="9"/>
      <x:c r="F66" s="9"/>
      <x:c r="G66" s="9"/>
      <x:c r="H66" s="9"/>
      <x:c r="I66" s="9"/>
      <x:c r="J66" s="9"/>
      <x:c r="K66" s="9"/>
      <x:c r="L66" s="9"/>
    </x:row>
    <x:row r="67">
      <x:c r="A67" s="9"/>
      <x:c r="B67" s="9"/>
      <x:c r="C67" s="9"/>
      <x:c r="D67" s="9"/>
      <x:c r="E67" s="9"/>
      <x:c r="F67" s="9"/>
      <x:c r="G67" s="9"/>
      <x:c r="H67" s="9"/>
      <x:c r="I67" s="9"/>
      <x:c r="J67" s="9"/>
      <x:c r="K67" s="9"/>
      <x:c r="L67" s="9"/>
    </x:row>
    <x:row r="68">
      <x:c r="A68" s="9"/>
      <x:c r="B68" s="9"/>
      <x:c r="C68" s="9"/>
      <x:c r="D68" s="9"/>
      <x:c r="E68" s="9"/>
      <x:c r="F68" s="9"/>
      <x:c r="G68" s="9"/>
      <x:c r="H68" s="9"/>
      <x:c r="I68" s="9"/>
      <x:c r="J68" s="9"/>
      <x:c r="K68" s="9"/>
      <x:c r="L68" s="9"/>
    </x:row>
    <x:row r="69">
      <x:c r="A69" s="9"/>
      <x:c r="B69" s="9"/>
      <x:c r="C69" s="9"/>
      <x:c r="D69" s="9"/>
      <x:c r="E69" s="9"/>
      <x:c r="F69" s="9"/>
      <x:c r="G69" s="9"/>
      <x:c r="H69" s="9"/>
      <x:c r="I69" s="9"/>
      <x:c r="J69" s="9"/>
      <x:c r="K69" s="9"/>
      <x:c r="L69" s="9"/>
    </x:row>
    <x:row r="70">
      <x:c r="A70" s="9"/>
      <x:c r="B70" s="9"/>
      <x:c r="C70" s="9"/>
      <x:c r="D70" s="9"/>
      <x:c r="E70" s="9"/>
      <x:c r="F70" s="9"/>
      <x:c r="G70" s="9"/>
      <x:c r="H70" s="9"/>
      <x:c r="I70" s="9"/>
      <x:c r="J70" s="9"/>
      <x:c r="K70" s="9"/>
      <x:c r="L70" s="9"/>
    </x:row>
    <x:row r="71">
      <x:c r="A71" s="9"/>
      <x:c r="B71" s="9"/>
      <x:c r="C71" s="9"/>
      <x:c r="D71" s="9"/>
      <x:c r="E71" s="9"/>
      <x:c r="F71" s="9"/>
      <x:c r="G71" s="9"/>
      <x:c r="H71" s="9"/>
      <x:c r="I71" s="9"/>
      <x:c r="J71" s="9"/>
      <x:c r="K71" s="9"/>
      <x:c r="L71" s="9"/>
    </x:row>
    <x:row r="72">
      <x:c r="A72" s="9"/>
      <x:c r="B72" s="9"/>
      <x:c r="C72" s="9"/>
      <x:c r="D72" s="9"/>
      <x:c r="E72" s="9"/>
      <x:c r="F72" s="9"/>
      <x:c r="G72" s="9"/>
      <x:c r="H72" s="9"/>
      <x:c r="I72" s="9"/>
      <x:c r="J72" s="9"/>
      <x:c r="K72" s="9"/>
      <x:c r="L72" s="9"/>
    </x:row>
    <x:row r="73">
      <x:c r="A73" s="9"/>
      <x:c r="B73" s="9"/>
      <x:c r="C73" s="9"/>
      <x:c r="D73" s="9"/>
      <x:c r="E73" s="9"/>
      <x:c r="F73" s="9"/>
      <x:c r="G73" s="9"/>
      <x:c r="H73" s="9"/>
      <x:c r="I73" s="9"/>
      <x:c r="J73" s="9"/>
      <x:c r="K73" s="9"/>
      <x:c r="L73" s="9"/>
    </x:row>
    <x:row r="74">
      <x:c r="A74" s="9"/>
      <x:c r="B74" s="9"/>
      <x:c r="C74" s="9"/>
      <x:c r="D74" s="9"/>
      <x:c r="E74" s="9"/>
      <x:c r="F74" s="9"/>
      <x:c r="G74" s="9"/>
      <x:c r="H74" s="9"/>
      <x:c r="I74" s="9"/>
      <x:c r="J74" s="9"/>
      <x:c r="K74" s="9"/>
      <x:c r="L74" s="9"/>
    </x:row>
    <x:row r="75">
      <x:c r="A75" s="9"/>
      <x:c r="B75" s="9"/>
      <x:c r="C75" s="9"/>
      <x:c r="D75" s="9"/>
      <x:c r="E75" s="9"/>
      <x:c r="F75" s="9"/>
      <x:c r="G75" s="9"/>
      <x:c r="H75" s="9"/>
      <x:c r="I75" s="9"/>
      <x:c r="J75" s="9"/>
      <x:c r="K75" s="9"/>
      <x:c r="L75" s="9"/>
    </x:row>
    <x:row r="76">
      <x:c r="A76" s="9"/>
      <x:c r="B76" s="9"/>
      <x:c r="C76" s="9"/>
      <x:c r="D76" s="9"/>
      <x:c r="E76" s="9"/>
      <x:c r="F76" s="9"/>
      <x:c r="G76" s="9"/>
      <x:c r="H76" s="9"/>
      <x:c r="I76" s="9"/>
      <x:c r="J76" s="9"/>
      <x:c r="K76" s="9"/>
      <x:c r="L76" s="9"/>
    </x:row>
    <x:row r="77">
      <x:c r="A77" s="9"/>
      <x:c r="B77" s="9"/>
      <x:c r="C77" s="9"/>
      <x:c r="D77" s="9"/>
      <x:c r="E77" s="9"/>
      <x:c r="F77" s="9"/>
      <x:c r="G77" s="9"/>
      <x:c r="H77" s="9"/>
      <x:c r="I77" s="9"/>
      <x:c r="J77" s="9"/>
      <x:c r="K77" s="9"/>
      <x:c r="L77" s="9"/>
    </x:row>
    <x:row r="78">
      <x:c r="A78" s="9"/>
      <x:c r="B78" s="9"/>
      <x:c r="C78" s="9"/>
      <x:c r="D78" s="9"/>
      <x:c r="E78" s="9"/>
      <x:c r="F78" s="9"/>
      <x:c r="G78" s="9"/>
      <x:c r="H78" s="9"/>
      <x:c r="I78" s="9"/>
      <x:c r="J78" s="9"/>
      <x:c r="K78" s="9"/>
      <x:c r="L78" s="9"/>
    </x:row>
    <x:row r="79">
      <x:c r="A79" s="9"/>
      <x:c r="B79" s="9"/>
      <x:c r="C79" s="9"/>
      <x:c r="D79" s="9"/>
      <x:c r="E79" s="9"/>
      <x:c r="F79" s="9"/>
      <x:c r="G79" s="9"/>
      <x:c r="H79" s="9"/>
      <x:c r="I79" s="9"/>
      <x:c r="J79" s="9"/>
      <x:c r="K79" s="9"/>
      <x:c r="L79" s="9"/>
    </x:row>
    <x:row r="80">
      <x:c r="A80" s="9"/>
      <x:c r="B80" s="9"/>
      <x:c r="C80" s="9"/>
      <x:c r="D80" s="9"/>
      <x:c r="E80" s="9"/>
      <x:c r="F80" s="9"/>
      <x:c r="G80" s="9"/>
      <x:c r="H80" s="9"/>
      <x:c r="I80" s="9"/>
      <x:c r="J80" s="9"/>
      <x:c r="K80" s="9"/>
      <x:c r="L80" s="9"/>
    </x:row>
  </x:sheetData>
  <x:mergeCells>
    <x:mergeCell ref="A1:L1"/>
    <x:mergeCell ref="A2:L2"/>
  </x:mergeCells>
  <x:dataValidations count="1">
    <x:dataValidation type="list" sqref="B5">
      <x:formula1>"1,2"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2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</x:cols>
  <x:sheetData>
    <x:row r="1" ht="22" customHeight="1">
      <x:c r="A1" s="5" t="str">
        <x:v>Operating Forecast</x:v>
      </x:c>
      <x:c r="B1" s="9"/>
      <x:c r="C1" s="9"/>
      <x:c r="D1" s="9"/>
      <x:c r="E1" s="9"/>
      <x:c r="F1" s="9"/>
      <x:c r="G1" s="9"/>
      <x:c r="H1" s="9"/>
      <x:c r="I1" s="9"/>
      <x:c r="J1" s="9"/>
      <x:c r="K1" s="9"/>
      <x:c r="L1" s="9"/>
    </x:row>
    <x:row r="2" ht="22" customHeight="1">
      <x:c r="A2" s="10" t="str">
        <x:v>Modelo conectado às premissas ativas | Dados fictícios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</x:row>
    <x:row r="3">
      <x:c r="A3" s="11"/>
      <x:c r="B3" s="11"/>
      <x:c r="C3" s="11"/>
      <x:c r="D3" s="11"/>
      <x:c r="E3" s="11"/>
      <x:c r="F3" s="11"/>
      <x:c r="G3" s="11"/>
      <x:c r="H3" s="11"/>
      <x:c r="I3" s="11"/>
      <x:c r="J3" s="11"/>
      <x:c r="K3" s="11"/>
      <x:c r="L3" s="11"/>
    </x:row>
    <x:row r="4">
      <x:c r="A4" s="9"/>
      <x:c r="B4" s="9"/>
      <x:c r="C4" s="9"/>
      <x:c r="D4" s="9"/>
      <x:c r="E4" s="9"/>
      <x:c r="F4" s="9"/>
      <x:c r="G4" s="9"/>
      <x:c r="H4" s="9"/>
      <x:c r="I4" s="9"/>
      <x:c r="J4" s="9"/>
      <x:c r="K4" s="9"/>
      <x:c r="L4" s="9"/>
    </x:row>
    <x:row r="5">
      <x:c r="A5" s="35" t="str">
        <x:v>Linha</x:v>
      </x:c>
      <x:c r="B5" s="36" t="str">
        <x:v>Jan-27</x:v>
      </x:c>
      <x:c r="C5" s="36" t="str">
        <x:v>Feb-27</x:v>
      </x:c>
      <x:c r="D5" s="36" t="str">
        <x:v>Mar-27</x:v>
      </x:c>
      <x:c r="E5" s="36" t="str">
        <x:v>Apr-27</x:v>
      </x:c>
      <x:c r="F5" s="36" t="str">
        <x:v>May-27</x:v>
      </x:c>
      <x:c r="G5" s="36" t="str">
        <x:v>Jun-27</x:v>
      </x:c>
      <x:c r="H5" s="36" t="str">
        <x:v>Jul-27</x:v>
      </x:c>
      <x:c r="I5" s="36" t="str">
        <x:v>Aug-27</x:v>
      </x:c>
      <x:c r="J5" s="36" t="str">
        <x:v>Sep-27</x:v>
      </x:c>
      <x:c r="K5" s="36" t="str">
        <x:v>Oct-27</x:v>
      </x:c>
      <x:c r="L5" s="36" t="str">
        <x:v>Nov-27</x:v>
      </x:c>
      <x:c r="M5" s="37" t="str">
        <x:v>Dec-27</x:v>
      </x:c>
    </x:row>
    <x:row r="6">
      <x:c r="A6" s="38" t="str">
        <x:v>Receita mês anterior</x:v>
      </x:c>
      <x:c r="B6" s="66" t="n">
        <x:v>250000</x:v>
      </x:c>
      <x:c r="C6" s="66" t="n">
        <x:f>B7</x:f>
        <x:v>262500</x:v>
      </x:c>
      <x:c r="D6" s="66" t="n">
        <x:f>C7</x:f>
        <x:v>275625</x:v>
      </x:c>
      <x:c r="E6" s="66" t="n">
        <x:f>D7</x:f>
        <x:v>292162.5</x:v>
      </x:c>
      <x:c r="F6" s="66" t="n">
        <x:f>E7</x:f>
        <x:v>309692.25</x:v>
      </x:c>
      <x:c r="G6" s="66" t="n">
        <x:f>F7</x:f>
        <x:v>331370.7075</x:v>
      </x:c>
      <x:c r="H6" s="66" t="n">
        <x:f>G7</x:f>
        <x:v>354566.657025</x:v>
      </x:c>
      <x:c r="I6" s="66" t="n">
        <x:f>H7</x:f>
        <x:v>379386.32301675004</x:v>
      </x:c>
      <x:c r="J6" s="66" t="n">
        <x:f>I7</x:f>
        <x:v>405943.3656279226</x:v>
      </x:c>
      <x:c r="K6" s="66" t="n">
        <x:f>J7</x:f>
        <x:v>438418.8348781564</x:v>
      </x:c>
      <x:c r="L6" s="66" t="n">
        <x:f>K7</x:f>
        <x:v>473492.34166840895</x:v>
      </x:c>
      <x:c r="M6" s="85" t="n">
        <x:f>L7</x:f>
        <x:v>511371.7290018817</x:v>
      </x:c>
    </x:row>
    <x:row r="7">
      <x:c r="A7" s="77" t="str">
        <x:v>Receita</x:v>
      </x:c>
      <x:c r="B7" s="68" t="n">
        <x:f>B6*(1+Assumptions!B11)</x:f>
        <x:v>262500</x:v>
      </x:c>
      <x:c r="C7" s="68" t="n">
        <x:f>C6*(1+Assumptions!C11)</x:f>
        <x:v>275625</x:v>
      </x:c>
      <x:c r="D7" s="68" t="n">
        <x:f>D6*(1+Assumptions!D11)</x:f>
        <x:v>292162.5</x:v>
      </x:c>
      <x:c r="E7" s="68" t="n">
        <x:f>E6*(1+Assumptions!E11)</x:f>
        <x:v>309692.25</x:v>
      </x:c>
      <x:c r="F7" s="68" t="n">
        <x:f>F6*(1+Assumptions!F11)</x:f>
        <x:v>331370.7075</x:v>
      </x:c>
      <x:c r="G7" s="68" t="n">
        <x:f>G6*(1+Assumptions!G11)</x:f>
        <x:v>354566.657025</x:v>
      </x:c>
      <x:c r="H7" s="68" t="n">
        <x:f>H6*(1+Assumptions!H11)</x:f>
        <x:v>379386.32301675004</x:v>
      </x:c>
      <x:c r="I7" s="68" t="n">
        <x:f>I6*(1+Assumptions!I11)</x:f>
        <x:v>405943.3656279226</x:v>
      </x:c>
      <x:c r="J7" s="68" t="n">
        <x:f>J6*(1+Assumptions!J11)</x:f>
        <x:v>438418.8348781564</x:v>
      </x:c>
      <x:c r="K7" s="68" t="n">
        <x:f>K6*(1+Assumptions!K11)</x:f>
        <x:v>473492.34166840895</x:v>
      </x:c>
      <x:c r="L7" s="68" t="n">
        <x:f>L6*(1+Assumptions!L11)</x:f>
        <x:v>511371.7290018817</x:v>
      </x:c>
      <x:c r="M7" s="86" t="n">
        <x:f>M6*(1+Assumptions!M11)</x:f>
        <x:v>557395.1846120511</x:v>
      </x:c>
    </x:row>
    <x:row r="8">
      <x:c r="A8" s="38" t="str">
        <x:v>Crescimento</x:v>
      </x:c>
      <x:c r="B8" s="49" t="n">
        <x:f>Assumptions!B11</x:f>
        <x:v>0.05</x:v>
      </x:c>
      <x:c r="C8" s="49" t="n">
        <x:f>Assumptions!C11</x:f>
        <x:v>0.05</x:v>
      </x:c>
      <x:c r="D8" s="49" t="n">
        <x:f>Assumptions!D11</x:f>
        <x:v>0.06</x:v>
      </x:c>
      <x:c r="E8" s="49" t="n">
        <x:f>Assumptions!E11</x:f>
        <x:v>0.06</x:v>
      </x:c>
      <x:c r="F8" s="49" t="n">
        <x:f>Assumptions!F11</x:f>
        <x:v>0.07</x:v>
      </x:c>
      <x:c r="G8" s="49" t="n">
        <x:f>Assumptions!G11</x:f>
        <x:v>0.07</x:v>
      </x:c>
      <x:c r="H8" s="49" t="n">
        <x:f>Assumptions!H11</x:f>
        <x:v>0.07</x:v>
      </x:c>
      <x:c r="I8" s="49" t="n">
        <x:f>Assumptions!I11</x:f>
        <x:v>0.07</x:v>
      </x:c>
      <x:c r="J8" s="49" t="n">
        <x:f>Assumptions!J11</x:f>
        <x:v>0.08</x:v>
      </x:c>
      <x:c r="K8" s="49" t="n">
        <x:f>Assumptions!K11</x:f>
        <x:v>0.08</x:v>
      </x:c>
      <x:c r="L8" s="49" t="n">
        <x:f>Assumptions!L11</x:f>
        <x:v>0.08</x:v>
      </x:c>
      <x:c r="M8" s="62" t="n">
        <x:f>Assumptions!M11</x:f>
        <x:v>0.09</x:v>
      </x:c>
    </x:row>
    <x:row r="9">
      <x:c r="A9" s="38" t="str">
        <x:v>Custo dos serviços</x:v>
      </x:c>
      <x:c r="B9" s="66" t="n">
        <x:f>B7*(1-Assumptions!B15)</x:f>
        <x:v>94500</x:v>
      </x:c>
      <x:c r="C9" s="66" t="n">
        <x:f>C7*(1-Assumptions!C15)</x:f>
        <x:v>99225</x:v>
      </x:c>
      <x:c r="D9" s="66" t="n">
        <x:f>D7*(1-Assumptions!D15)</x:f>
        <x:v>105178.5</x:v>
      </x:c>
      <x:c r="E9" s="66" t="n">
        <x:f>E7*(1-Assumptions!E15)</x:f>
        <x:v>111489.20999999999</x:v>
      </x:c>
      <x:c r="F9" s="66" t="n">
        <x:f>F7*(1-Assumptions!F15)</x:f>
        <x:v>119293.4547</x:v>
      </x:c>
      <x:c r="G9" s="66" t="n">
        <x:f>G7*(1-Assumptions!G15)</x:f>
        <x:v>127643.996529</x:v>
      </x:c>
      <x:c r="H9" s="66" t="n">
        <x:f>H7*(1-Assumptions!H15)</x:f>
        <x:v>136579.07628603</x:v>
      </x:c>
      <x:c r="I9" s="66" t="n">
        <x:f>I7*(1-Assumptions!I15)</x:f>
        <x:v>146139.61162605212</x:v>
      </x:c>
      <x:c r="J9" s="66" t="n">
        <x:f>J7*(1-Assumptions!J15)</x:f>
        <x:v>157830.7805561363</x:v>
      </x:c>
      <x:c r="K9" s="66" t="n">
        <x:f>K7*(1-Assumptions!K15)</x:f>
        <x:v>170457.2430006272</x:v>
      </x:c>
      <x:c r="L9" s="66" t="n">
        <x:f>L7*(1-Assumptions!L15)</x:f>
        <x:v>184093.82244067738</x:v>
      </x:c>
      <x:c r="M9" s="85" t="n">
        <x:f>M7*(1-Assumptions!M15)</x:f>
        <x:v>200662.2664603384</x:v>
      </x:c>
    </x:row>
    <x:row r="10">
      <x:c r="A10" s="38" t="str">
        <x:v>Lucro bruto</x:v>
      </x:c>
      <x:c r="B10" s="66" t="n">
        <x:f>B7-B9</x:f>
        <x:v>168000</x:v>
      </x:c>
      <x:c r="C10" s="66" t="n">
        <x:f>C7-C9</x:f>
        <x:v>176400</x:v>
      </x:c>
      <x:c r="D10" s="66" t="n">
        <x:f>D7-D9</x:f>
        <x:v>186984</x:v>
      </x:c>
      <x:c r="E10" s="66" t="n">
        <x:f>E7-E9</x:f>
        <x:v>198203.04</x:v>
      </x:c>
      <x:c r="F10" s="66" t="n">
        <x:f>F7-F9</x:f>
        <x:v>212077.25280000002</x:v>
      </x:c>
      <x:c r="G10" s="66" t="n">
        <x:f>G7-G9</x:f>
        <x:v>226922.66049600003</x:v>
      </x:c>
      <x:c r="H10" s="66" t="n">
        <x:f>H7-H9</x:f>
        <x:v>242807.24673072004</x:v>
      </x:c>
      <x:c r="I10" s="66" t="n">
        <x:f>I7-I9</x:f>
        <x:v>259803.75400187046</x:v>
      </x:c>
      <x:c r="J10" s="66" t="n">
        <x:f>J7-J9</x:f>
        <x:v>280588.05432202015</x:v>
      </x:c>
      <x:c r="K10" s="66" t="n">
        <x:f>K7-K9</x:f>
        <x:v>303035.09866778174</x:v>
      </x:c>
      <x:c r="L10" s="66" t="n">
        <x:f>L7-L9</x:f>
        <x:v>327277.9065612043</x:v>
      </x:c>
      <x:c r="M10" s="85" t="n">
        <x:f>M7-M9</x:f>
        <x:v>356732.91815171274</x:v>
      </x:c>
    </x:row>
    <x:row r="11">
      <x:c r="A11" s="38" t="str">
        <x:v>Opex fixo</x:v>
      </x:c>
      <x:c r="B11" s="66" t="n">
        <x:f>Assumptions!B19</x:f>
        <x:v>72000</x:v>
      </x:c>
      <x:c r="C11" s="66" t="n">
        <x:f>Assumptions!C19</x:f>
        <x:v>72000</x:v>
      </x:c>
      <x:c r="D11" s="66" t="n">
        <x:f>Assumptions!D19</x:f>
        <x:v>72000</x:v>
      </x:c>
      <x:c r="E11" s="66" t="n">
        <x:f>Assumptions!E19</x:f>
        <x:v>72000</x:v>
      </x:c>
      <x:c r="F11" s="66" t="n">
        <x:f>Assumptions!F19</x:f>
        <x:v>72000</x:v>
      </x:c>
      <x:c r="G11" s="66" t="n">
        <x:f>Assumptions!G19</x:f>
        <x:v>72000</x:v>
      </x:c>
      <x:c r="H11" s="66" t="n">
        <x:f>Assumptions!H19</x:f>
        <x:v>72000</x:v>
      </x:c>
      <x:c r="I11" s="66" t="n">
        <x:f>Assumptions!I19</x:f>
        <x:v>72000</x:v>
      </x:c>
      <x:c r="J11" s="66" t="n">
        <x:f>Assumptions!J19</x:f>
        <x:v>72000</x:v>
      </x:c>
      <x:c r="K11" s="66" t="n">
        <x:f>Assumptions!K19</x:f>
        <x:v>72000</x:v>
      </x:c>
      <x:c r="L11" s="66" t="n">
        <x:f>Assumptions!L19</x:f>
        <x:v>72000</x:v>
      </x:c>
      <x:c r="M11" s="85" t="n">
        <x:f>Assumptions!M19</x:f>
        <x:v>72000</x:v>
      </x:c>
    </x:row>
    <x:row r="12">
      <x:c r="A12" s="79" t="str">
        <x:v>EBITDA</x:v>
      </x:c>
      <x:c r="B12" s="70" t="n">
        <x:f>B10-B11</x:f>
        <x:v>96000</x:v>
      </x:c>
      <x:c r="C12" s="70" t="n">
        <x:f>C10-C11</x:f>
        <x:v>104400</x:v>
      </x:c>
      <x:c r="D12" s="70" t="n">
        <x:f>D10-D11</x:f>
        <x:v>114984</x:v>
      </x:c>
      <x:c r="E12" s="70" t="n">
        <x:f>E10-E11</x:f>
        <x:v>126203.04000000001</x:v>
      </x:c>
      <x:c r="F12" s="70" t="n">
        <x:f>F10-F11</x:f>
        <x:v>140077.25280000002</x:v>
      </x:c>
      <x:c r="G12" s="70" t="n">
        <x:f>G10-G11</x:f>
        <x:v>154922.66049600003</x:v>
      </x:c>
      <x:c r="H12" s="70" t="n">
        <x:f>H10-H11</x:f>
        <x:v>170807.24673072004</x:v>
      </x:c>
      <x:c r="I12" s="70" t="n">
        <x:f>I10-I11</x:f>
        <x:v>187803.75400187046</x:v>
      </x:c>
      <x:c r="J12" s="70" t="n">
        <x:f>J10-J11</x:f>
        <x:v>208588.05432202015</x:v>
      </x:c>
      <x:c r="K12" s="70" t="n">
        <x:f>K10-K11</x:f>
        <x:v>231035.09866778174</x:v>
      </x:c>
      <x:c r="L12" s="70" t="n">
        <x:f>L10-L11</x:f>
        <x:v>255277.9065612043</x:v>
      </x:c>
      <x:c r="M12" s="87" t="n">
        <x:f>M10-M11</x:f>
        <x:v>284732.91815171274</x:v>
      </x:c>
    </x:row>
    <x:row r="13">
      <x:c r="A13" s="79" t="str">
        <x:v>Margem EBITDA</x:v>
      </x:c>
      <x:c r="B13" s="72" t="n">
        <x:f>B12/B7</x:f>
        <x:v>0.3657142857142857</x:v>
      </x:c>
      <x:c r="C13" s="72" t="n">
        <x:f>C12/C7</x:f>
        <x:v>0.3787755102040816</x:v>
      </x:c>
      <x:c r="D13" s="72" t="n">
        <x:f>D12/D7</x:f>
        <x:v>0.3935618020793223</x:v>
      </x:c>
      <x:c r="E13" s="72" t="n">
        <x:f>E12/E7</x:f>
        <x:v>0.40751113403709655</x:v>
      </x:c>
      <x:c r="F13" s="72" t="n">
        <x:f>F12/F7</x:f>
        <x:v>0.42272068601597806</x:v>
      </x:c>
      <x:c r="G13" s="72" t="n">
        <x:f>G12/G7</x:f>
        <x:v>0.43693522057568046</x:v>
      </x:c>
      <x:c r="H13" s="72" t="n">
        <x:f>H12/H7</x:f>
        <x:v>0.4502198323137201</x:v>
      </x:c>
      <x:c r="I13" s="72" t="n">
        <x:f>I12/I7</x:f>
        <x:v>0.4626353573025421</x:v>
      </x:c>
      <x:c r="J13" s="72" t="n">
        <x:f>J12/J7</x:f>
        <x:v>0.4757734789838354</x:v>
      </x:c>
      <x:c r="K13" s="72" t="n">
        <x:f>K12/K7</x:f>
        <x:v>0.4879384064665142</x:v>
      </x:c>
      <x:c r="L13" s="72" t="n">
        <x:f>L12/L7</x:f>
        <x:v>0.49920222820973537</x:v>
      </x:c>
      <x:c r="M13" s="88" t="n">
        <x:f>M12/M7</x:f>
        <x:v>0.5108277323025096</x:v>
      </x:c>
    </x:row>
    <x:row r="14">
      <x:c r="A14" s="38" t="str">
        <x:v>Capex</x:v>
      </x:c>
      <x:c r="B14" s="66" t="n">
        <x:v>18000</x:v>
      </x:c>
      <x:c r="C14" s="66" t="n">
        <x:v>18000</x:v>
      </x:c>
      <x:c r="D14" s="66" t="n">
        <x:v>18000</x:v>
      </x:c>
      <x:c r="E14" s="66" t="n">
        <x:v>18000</x:v>
      </x:c>
      <x:c r="F14" s="66" t="n">
        <x:v>18000</x:v>
      </x:c>
      <x:c r="G14" s="66" t="n">
        <x:v>18000</x:v>
      </x:c>
      <x:c r="H14" s="66" t="n">
        <x:v>18000</x:v>
      </x:c>
      <x:c r="I14" s="66" t="n">
        <x:v>18000</x:v>
      </x:c>
      <x:c r="J14" s="66" t="n">
        <x:v>18000</x:v>
      </x:c>
      <x:c r="K14" s="66" t="n">
        <x:v>18000</x:v>
      </x:c>
      <x:c r="L14" s="66" t="n">
        <x:v>18000</x:v>
      </x:c>
      <x:c r="M14" s="85" t="n">
        <x:v>18000</x:v>
      </x:c>
    </x:row>
    <x:row r="15">
      <x:c r="A15" s="38" t="str">
        <x:v>Impostos e outros</x:v>
      </x:c>
      <x:c r="B15" s="66" t="n">
        <x:f>B12*0.12</x:f>
        <x:v>11520</x:v>
      </x:c>
      <x:c r="C15" s="66" t="n">
        <x:f>C12*0.12</x:f>
        <x:v>12528</x:v>
      </x:c>
      <x:c r="D15" s="66" t="n">
        <x:f>D12*0.12</x:f>
        <x:v>13798.08</x:v>
      </x:c>
      <x:c r="E15" s="66" t="n">
        <x:f>E12*0.12</x:f>
        <x:v>15144.364800000001</x:v>
      </x:c>
      <x:c r="F15" s="66" t="n">
        <x:f>F12*0.12</x:f>
        <x:v>16809.270336</x:v>
      </x:c>
      <x:c r="G15" s="66" t="n">
        <x:f>G12*0.12</x:f>
        <x:v>18590.719259520003</x:v>
      </x:c>
      <x:c r="H15" s="66" t="n">
        <x:f>H12*0.12</x:f>
        <x:v>20496.869607686403</x:v>
      </x:c>
      <x:c r="I15" s="66" t="n">
        <x:f>I12*0.12</x:f>
        <x:v>22536.450480224456</x:v>
      </x:c>
      <x:c r="J15" s="66" t="n">
        <x:f>J12*0.12</x:f>
        <x:v>25030.566518642416</x:v>
      </x:c>
      <x:c r="K15" s="66" t="n">
        <x:f>K12*0.12</x:f>
        <x:v>27724.21184013381</x:v>
      </x:c>
      <x:c r="L15" s="66" t="n">
        <x:f>L12*0.12</x:f>
        <x:v>30633.348787344512</x:v>
      </x:c>
      <x:c r="M15" s="85" t="n">
        <x:f>M12*0.12</x:f>
        <x:v>34167.95017820553</x:v>
      </x:c>
    </x:row>
    <x:row r="16">
      <x:c r="A16" s="38" t="str">
        <x:v>Fluxo de caixa livre</x:v>
      </x:c>
      <x:c r="B16" s="66" t="n">
        <x:f>B12-B14-B15</x:f>
        <x:v>66480</x:v>
      </x:c>
      <x:c r="C16" s="66" t="n">
        <x:f>C12-C14-C15</x:f>
        <x:v>73872</x:v>
      </x:c>
      <x:c r="D16" s="66" t="n">
        <x:f>D12-D14-D15</x:f>
        <x:v>83185.92</x:v>
      </x:c>
      <x:c r="E16" s="66" t="n">
        <x:f>E12-E14-E15</x:f>
        <x:v>93058.67520000001</x:v>
      </x:c>
      <x:c r="F16" s="66" t="n">
        <x:f>F12-F14-F15</x:f>
        <x:v>105267.98246400002</x:v>
      </x:c>
      <x:c r="G16" s="66" t="n">
        <x:f>G12-G14-G15</x:f>
        <x:v>118331.94123648002</x:v>
      </x:c>
      <x:c r="H16" s="66" t="n">
        <x:f>H12-H14-H15</x:f>
        <x:v>132310.37712303363</x:v>
      </x:c>
      <x:c r="I16" s="66" t="n">
        <x:f>I12-I14-I15</x:f>
        <x:v>147267.303521646</x:v>
      </x:c>
      <x:c r="J16" s="66" t="n">
        <x:f>J12-J14-J15</x:f>
        <x:v>165557.48780337773</x:v>
      </x:c>
      <x:c r="K16" s="66" t="n">
        <x:f>K12-K14-K15</x:f>
        <x:v>185310.88682764792</x:v>
      </x:c>
      <x:c r="L16" s="66" t="n">
        <x:f>L12-L14-L15</x:f>
        <x:v>206644.55777385976</x:v>
      </x:c>
      <x:c r="M16" s="85" t="n">
        <x:f>M12-M14-M15</x:f>
        <x:v>232564.9679735072</x:v>
      </x:c>
    </x:row>
    <x:row r="17">
      <x:c r="A17" s="38" t="str">
        <x:v>Caixa inicial</x:v>
      </x:c>
      <x:c r="B17" s="66" t="n">
        <x:v>300000</x:v>
      </x:c>
      <x:c r="C17" s="66" t="n">
        <x:f>B18</x:f>
        <x:v>366480</x:v>
      </x:c>
      <x:c r="D17" s="66" t="n">
        <x:f>C18</x:f>
        <x:v>440352</x:v>
      </x:c>
      <x:c r="E17" s="66" t="n">
        <x:f>D18</x:f>
        <x:v>523537.92</x:v>
      </x:c>
      <x:c r="F17" s="66" t="n">
        <x:f>E18</x:f>
        <x:v>616596.5952</x:v>
      </x:c>
      <x:c r="G17" s="66" t="n">
        <x:f>F18</x:f>
        <x:v>721864.577664</x:v>
      </x:c>
      <x:c r="H17" s="66" t="n">
        <x:f>G18</x:f>
        <x:v>840196.51890048</x:v>
      </x:c>
      <x:c r="I17" s="66" t="n">
        <x:f>H18</x:f>
        <x:v>972506.8960235136</x:v>
      </x:c>
      <x:c r="J17" s="66" t="n">
        <x:f>I18</x:f>
        <x:v>1119774.1995451597</x:v>
      </x:c>
      <x:c r="K17" s="66" t="n">
        <x:f>J18</x:f>
        <x:v>1285331.6873485374</x:v>
      </x:c>
      <x:c r="L17" s="66" t="n">
        <x:f>K18</x:f>
        <x:v>1470642.5741761853</x:v>
      </x:c>
      <x:c r="M17" s="85" t="n">
        <x:f>L18</x:f>
        <x:v>1677287.131950045</x:v>
      </x:c>
    </x:row>
    <x:row r="18">
      <x:c r="A18" s="82" t="str">
        <x:v>Caixa final</x:v>
      </x:c>
      <x:c r="B18" s="83" t="n">
        <x:f>B17+B16</x:f>
        <x:v>366480</x:v>
      </x:c>
      <x:c r="C18" s="83" t="n">
        <x:f>C17+C16</x:f>
        <x:v>440352</x:v>
      </x:c>
      <x:c r="D18" s="83" t="n">
        <x:f>D17+D16</x:f>
        <x:v>523537.92</x:v>
      </x:c>
      <x:c r="E18" s="83" t="n">
        <x:f>E17+E16</x:f>
        <x:v>616596.5952</x:v>
      </x:c>
      <x:c r="F18" s="83" t="n">
        <x:f>F17+F16</x:f>
        <x:v>721864.577664</x:v>
      </x:c>
      <x:c r="G18" s="83" t="n">
        <x:f>G17+G16</x:f>
        <x:v>840196.51890048</x:v>
      </x:c>
      <x:c r="H18" s="83" t="n">
        <x:f>H17+H16</x:f>
        <x:v>972506.8960235136</x:v>
      </x:c>
      <x:c r="I18" s="83" t="n">
        <x:f>I17+I16</x:f>
        <x:v>1119774.1995451597</x:v>
      </x:c>
      <x:c r="J18" s="83" t="n">
        <x:f>J17+J16</x:f>
        <x:v>1285331.6873485374</x:v>
      </x:c>
      <x:c r="K18" s="83" t="n">
        <x:f>K17+K16</x:f>
        <x:v>1470642.5741761853</x:v>
      </x:c>
      <x:c r="L18" s="83" t="n">
        <x:f>L17+L16</x:f>
        <x:v>1677287.131950045</x:v>
      </x:c>
      <x:c r="M18" s="89" t="n">
        <x:f>M17+M16</x:f>
        <x:v>1909852.0999235522</x:v>
      </x:c>
    </x:row>
    <x:row r="19">
      <x:c r="A19" s="9"/>
      <x:c r="B19" s="9"/>
      <x:c r="C19" s="9"/>
      <x:c r="D19" s="9"/>
      <x:c r="E19" s="9"/>
      <x:c r="F19" s="9"/>
      <x:c r="G19" s="9"/>
      <x:c r="H19" s="9"/>
      <x:c r="I19" s="9"/>
      <x:c r="J19" s="9"/>
      <x:c r="K19" s="9"/>
      <x:c r="L19" s="9"/>
    </x:row>
    <x:row r="20">
      <x:c r="A20" s="9"/>
      <x:c r="B20" s="9"/>
      <x:c r="C20" s="9"/>
      <x:c r="D20" s="9"/>
      <x:c r="E20" s="9"/>
      <x:c r="F20" s="9"/>
      <x:c r="G20" s="9"/>
      <x:c r="H20" s="9"/>
      <x:c r="I20" s="9"/>
      <x:c r="J20" s="9"/>
      <x:c r="K20" s="9"/>
      <x:c r="L20" s="9"/>
    </x:row>
    <x:row r="21">
      <x:c r="A21" s="9"/>
      <x:c r="B21" s="9"/>
      <x:c r="C21" s="9"/>
      <x:c r="D21" s="9"/>
      <x:c r="E21" s="9"/>
      <x:c r="F21" s="9"/>
      <x:c r="G21" s="9"/>
      <x:c r="H21" s="9"/>
      <x:c r="I21" s="9"/>
      <x:c r="J21" s="9"/>
      <x:c r="K21" s="9"/>
      <x:c r="L21" s="9"/>
    </x:row>
    <x:row r="22">
      <x:c r="A22" s="9"/>
      <x:c r="B22" s="9"/>
      <x:c r="C22" s="9"/>
      <x:c r="D22" s="9"/>
      <x:c r="E22" s="9"/>
      <x:c r="F22" s="9"/>
      <x:c r="G22" s="9"/>
      <x:c r="H22" s="9"/>
      <x:c r="I22" s="9"/>
      <x:c r="J22" s="9"/>
      <x:c r="K22" s="9"/>
      <x:c r="L22" s="9"/>
    </x:row>
    <x:row r="23">
      <x:c r="A23" s="9"/>
      <x:c r="B23" s="9"/>
      <x:c r="C23" s="9"/>
      <x:c r="D23" s="9"/>
      <x:c r="E23" s="9"/>
      <x:c r="F23" s="9"/>
      <x:c r="G23" s="9"/>
      <x:c r="H23" s="9"/>
      <x:c r="I23" s="9"/>
      <x:c r="J23" s="9"/>
      <x:c r="K23" s="9"/>
      <x:c r="L23" s="9"/>
    </x:row>
    <x:row r="24">
      <x:c r="A24" s="9"/>
      <x:c r="B24" s="9"/>
      <x:c r="C24" s="9"/>
      <x:c r="D24" s="9"/>
      <x:c r="E24" s="9"/>
      <x:c r="F24" s="9"/>
      <x:c r="G24" s="9"/>
      <x:c r="H24" s="9"/>
      <x:c r="I24" s="9"/>
      <x:c r="J24" s="9"/>
      <x:c r="K24" s="9"/>
      <x:c r="L24" s="9"/>
    </x:row>
    <x:row r="25">
      <x:c r="A25" s="9"/>
      <x:c r="B25" s="9"/>
      <x:c r="C25" s="9"/>
      <x:c r="D25" s="9"/>
      <x:c r="E25" s="9"/>
      <x:c r="F25" s="9"/>
      <x:c r="G25" s="9"/>
      <x:c r="H25" s="9"/>
      <x:c r="I25" s="9"/>
      <x:c r="J25" s="9"/>
      <x:c r="K25" s="9"/>
      <x:c r="L25" s="9"/>
    </x:row>
    <x:row r="26">
      <x:c r="A26" s="9"/>
      <x:c r="B26" s="9"/>
      <x:c r="C26" s="9"/>
      <x:c r="D26" s="9"/>
      <x:c r="E26" s="9"/>
      <x:c r="F26" s="9"/>
      <x:c r="G26" s="9"/>
      <x:c r="H26" s="9"/>
      <x:c r="I26" s="9"/>
      <x:c r="J26" s="9"/>
      <x:c r="K26" s="9"/>
      <x:c r="L26" s="9"/>
    </x:row>
    <x:row r="27">
      <x:c r="A27" s="9"/>
      <x:c r="B27" s="9"/>
      <x:c r="C27" s="9"/>
      <x:c r="D27" s="9"/>
      <x:c r="E27" s="9"/>
      <x:c r="F27" s="9"/>
      <x:c r="G27" s="9"/>
      <x:c r="H27" s="9"/>
      <x:c r="I27" s="9"/>
      <x:c r="J27" s="9"/>
      <x:c r="K27" s="9"/>
      <x:c r="L27" s="9"/>
    </x:row>
    <x:row r="28">
      <x:c r="A28" s="9"/>
      <x:c r="B28" s="9"/>
      <x:c r="C28" s="9"/>
      <x:c r="D28" s="9"/>
      <x:c r="E28" s="9"/>
      <x:c r="F28" s="9"/>
      <x:c r="G28" s="9"/>
      <x:c r="H28" s="9"/>
      <x:c r="I28" s="9"/>
      <x:c r="J28" s="9"/>
      <x:c r="K28" s="9"/>
      <x:c r="L28" s="9"/>
    </x:row>
    <x:row r="29">
      <x:c r="A29" s="9"/>
      <x:c r="B29" s="9"/>
      <x:c r="C29" s="9"/>
      <x:c r="D29" s="9"/>
      <x:c r="E29" s="9"/>
      <x:c r="F29" s="9"/>
      <x:c r="G29" s="9"/>
      <x:c r="H29" s="9"/>
      <x:c r="I29" s="9"/>
      <x:c r="J29" s="9"/>
      <x:c r="K29" s="9"/>
      <x:c r="L29" s="9"/>
    </x:row>
    <x:row r="30">
      <x:c r="A30" s="9"/>
      <x:c r="B30" s="9"/>
      <x:c r="C30" s="9"/>
      <x:c r="D30" s="9"/>
      <x:c r="E30" s="9"/>
      <x:c r="F30" s="9"/>
      <x:c r="G30" s="9"/>
      <x:c r="H30" s="9"/>
      <x:c r="I30" s="9"/>
      <x:c r="J30" s="9"/>
      <x:c r="K30" s="9"/>
      <x:c r="L30" s="9"/>
    </x:row>
    <x:row r="31">
      <x:c r="A31" s="9"/>
      <x:c r="B31" s="9"/>
      <x:c r="C31" s="9"/>
      <x:c r="D31" s="9"/>
      <x:c r="E31" s="9"/>
      <x:c r="F31" s="9"/>
      <x:c r="G31" s="9"/>
      <x:c r="H31" s="9"/>
      <x:c r="I31" s="9"/>
      <x:c r="J31" s="9"/>
      <x:c r="K31" s="9"/>
      <x:c r="L31" s="9"/>
    </x:row>
    <x:row r="32">
      <x:c r="A32" s="9"/>
      <x:c r="B32" s="9"/>
      <x:c r="C32" s="9"/>
      <x:c r="D32" s="9"/>
      <x:c r="E32" s="9"/>
      <x:c r="F32" s="9"/>
      <x:c r="G32" s="9"/>
      <x:c r="H32" s="9"/>
      <x:c r="I32" s="9"/>
      <x:c r="J32" s="9"/>
      <x:c r="K32" s="9"/>
      <x:c r="L32" s="9"/>
    </x:row>
    <x:row r="33">
      <x:c r="A33" s="9"/>
      <x:c r="B33" s="9"/>
      <x:c r="C33" s="9"/>
      <x:c r="D33" s="9"/>
      <x:c r="E33" s="9"/>
      <x:c r="F33" s="9"/>
      <x:c r="G33" s="9"/>
      <x:c r="H33" s="9"/>
      <x:c r="I33" s="9"/>
      <x:c r="J33" s="9"/>
      <x:c r="K33" s="9"/>
      <x:c r="L33" s="9"/>
    </x:row>
    <x:row r="34">
      <x:c r="A34" s="9"/>
      <x:c r="B34" s="9"/>
      <x:c r="C34" s="9"/>
      <x:c r="D34" s="9"/>
      <x:c r="E34" s="9"/>
      <x:c r="F34" s="9"/>
      <x:c r="G34" s="9"/>
      <x:c r="H34" s="9"/>
      <x:c r="I34" s="9"/>
      <x:c r="J34" s="9"/>
      <x:c r="K34" s="9"/>
      <x:c r="L34" s="9"/>
    </x:row>
    <x:row r="35">
      <x:c r="A35" s="9"/>
      <x:c r="B35" s="9"/>
      <x:c r="C35" s="9"/>
      <x:c r="D35" s="9"/>
      <x:c r="E35" s="9"/>
      <x:c r="F35" s="9"/>
      <x:c r="G35" s="9"/>
      <x:c r="H35" s="9"/>
      <x:c r="I35" s="9"/>
      <x:c r="J35" s="9"/>
      <x:c r="K35" s="9"/>
      <x:c r="L35" s="9"/>
    </x:row>
    <x:row r="36">
      <x:c r="A36" s="9"/>
      <x:c r="B36" s="9"/>
      <x:c r="C36" s="9"/>
      <x:c r="D36" s="9"/>
      <x:c r="E36" s="9"/>
      <x:c r="F36" s="9"/>
      <x:c r="G36" s="9"/>
      <x:c r="H36" s="9"/>
      <x:c r="I36" s="9"/>
      <x:c r="J36" s="9"/>
      <x:c r="K36" s="9"/>
      <x:c r="L36" s="9"/>
    </x:row>
    <x:row r="37">
      <x:c r="A37" s="9"/>
      <x:c r="B37" s="9"/>
      <x:c r="C37" s="9"/>
      <x:c r="D37" s="9"/>
      <x:c r="E37" s="9"/>
      <x:c r="F37" s="9"/>
      <x:c r="G37" s="9"/>
      <x:c r="H37" s="9"/>
      <x:c r="I37" s="9"/>
      <x:c r="J37" s="9"/>
      <x:c r="K37" s="9"/>
      <x:c r="L37" s="9"/>
    </x:row>
    <x:row r="38">
      <x:c r="A38" s="9"/>
      <x:c r="B38" s="9"/>
      <x:c r="C38" s="9"/>
      <x:c r="D38" s="9"/>
      <x:c r="E38" s="9"/>
      <x:c r="F38" s="9"/>
      <x:c r="G38" s="9"/>
      <x:c r="H38" s="9"/>
      <x:c r="I38" s="9"/>
      <x:c r="J38" s="9"/>
      <x:c r="K38" s="9"/>
      <x:c r="L38" s="9"/>
    </x:row>
    <x:row r="39">
      <x:c r="A39" s="9"/>
      <x:c r="B39" s="9"/>
      <x:c r="C39" s="9"/>
      <x:c r="D39" s="9"/>
      <x:c r="E39" s="9"/>
      <x:c r="F39" s="9"/>
      <x:c r="G39" s="9"/>
      <x:c r="H39" s="9"/>
      <x:c r="I39" s="9"/>
      <x:c r="J39" s="9"/>
      <x:c r="K39" s="9"/>
      <x:c r="L39" s="9"/>
    </x:row>
    <x:row r="40">
      <x:c r="A40" s="9"/>
      <x:c r="B40" s="9"/>
      <x:c r="C40" s="9"/>
      <x:c r="D40" s="9"/>
      <x:c r="E40" s="9"/>
      <x:c r="F40" s="9"/>
      <x:c r="G40" s="9"/>
      <x:c r="H40" s="9"/>
      <x:c r="I40" s="9"/>
      <x:c r="J40" s="9"/>
      <x:c r="K40" s="9"/>
      <x:c r="L40" s="9"/>
    </x:row>
    <x:row r="41">
      <x:c r="A41" s="9"/>
      <x:c r="B41" s="9"/>
      <x:c r="C41" s="9"/>
      <x:c r="D41" s="9"/>
      <x:c r="E41" s="9"/>
      <x:c r="F41" s="9"/>
      <x:c r="G41" s="9"/>
      <x:c r="H41" s="9"/>
      <x:c r="I41" s="9"/>
      <x:c r="J41" s="9"/>
      <x:c r="K41" s="9"/>
      <x:c r="L41" s="9"/>
    </x:row>
    <x:row r="42">
      <x:c r="A42" s="9"/>
      <x:c r="B42" s="9"/>
      <x:c r="C42" s="9"/>
      <x:c r="D42" s="9"/>
      <x:c r="E42" s="9"/>
      <x:c r="F42" s="9"/>
      <x:c r="G42" s="9"/>
      <x:c r="H42" s="9"/>
      <x:c r="I42" s="9"/>
      <x:c r="J42" s="9"/>
      <x:c r="K42" s="9"/>
      <x:c r="L42" s="9"/>
    </x:row>
    <x:row r="43">
      <x:c r="A43" s="9"/>
      <x:c r="B43" s="9"/>
      <x:c r="C43" s="9"/>
      <x:c r="D43" s="9"/>
      <x:c r="E43" s="9"/>
      <x:c r="F43" s="9"/>
      <x:c r="G43" s="9"/>
      <x:c r="H43" s="9"/>
      <x:c r="I43" s="9"/>
      <x:c r="J43" s="9"/>
      <x:c r="K43" s="9"/>
      <x:c r="L43" s="9"/>
    </x:row>
    <x:row r="44">
      <x:c r="A44" s="9"/>
      <x:c r="B44" s="9"/>
      <x:c r="C44" s="9"/>
      <x:c r="D44" s="9"/>
      <x:c r="E44" s="9"/>
      <x:c r="F44" s="9"/>
      <x:c r="G44" s="9"/>
      <x:c r="H44" s="9"/>
      <x:c r="I44" s="9"/>
      <x:c r="J44" s="9"/>
      <x:c r="K44" s="9"/>
      <x:c r="L44" s="9"/>
    </x:row>
    <x:row r="45">
      <x:c r="A45" s="9"/>
      <x:c r="B45" s="9"/>
      <x:c r="C45" s="9"/>
      <x:c r="D45" s="9"/>
      <x:c r="E45" s="9"/>
      <x:c r="F45" s="9"/>
      <x:c r="G45" s="9"/>
      <x:c r="H45" s="9"/>
      <x:c r="I45" s="9"/>
      <x:c r="J45" s="9"/>
      <x:c r="K45" s="9"/>
      <x:c r="L45" s="9"/>
    </x:row>
    <x:row r="46">
      <x:c r="A46" s="9"/>
      <x:c r="B46" s="9"/>
      <x:c r="C46" s="9"/>
      <x:c r="D46" s="9"/>
      <x:c r="E46" s="9"/>
      <x:c r="F46" s="9"/>
      <x:c r="G46" s="9"/>
      <x:c r="H46" s="9"/>
      <x:c r="I46" s="9"/>
      <x:c r="J46" s="9"/>
      <x:c r="K46" s="9"/>
      <x:c r="L46" s="9"/>
    </x:row>
    <x:row r="47">
      <x:c r="A47" s="9"/>
      <x:c r="B47" s="9"/>
      <x:c r="C47" s="9"/>
      <x:c r="D47" s="9"/>
      <x:c r="E47" s="9"/>
      <x:c r="F47" s="9"/>
      <x:c r="G47" s="9"/>
      <x:c r="H47" s="9"/>
      <x:c r="I47" s="9"/>
      <x:c r="J47" s="9"/>
      <x:c r="K47" s="9"/>
      <x:c r="L47" s="9"/>
    </x:row>
    <x:row r="48">
      <x:c r="A48" s="9"/>
      <x:c r="B48" s="9"/>
      <x:c r="C48" s="9"/>
      <x:c r="D48" s="9"/>
      <x:c r="E48" s="9"/>
      <x:c r="F48" s="9"/>
      <x:c r="G48" s="9"/>
      <x:c r="H48" s="9"/>
      <x:c r="I48" s="9"/>
      <x:c r="J48" s="9"/>
      <x:c r="K48" s="9"/>
      <x:c r="L48" s="9"/>
    </x:row>
    <x:row r="49">
      <x:c r="A49" s="9"/>
      <x:c r="B49" s="9"/>
      <x:c r="C49" s="9"/>
      <x:c r="D49" s="9"/>
      <x:c r="E49" s="9"/>
      <x:c r="F49" s="9"/>
      <x:c r="G49" s="9"/>
      <x:c r="H49" s="9"/>
      <x:c r="I49" s="9"/>
      <x:c r="J49" s="9"/>
      <x:c r="K49" s="9"/>
      <x:c r="L49" s="9"/>
    </x:row>
    <x:row r="50">
      <x:c r="A50" s="9"/>
      <x:c r="B50" s="9"/>
      <x:c r="C50" s="9"/>
      <x:c r="D50" s="9"/>
      <x:c r="E50" s="9"/>
      <x:c r="F50" s="9"/>
      <x:c r="G50" s="9"/>
      <x:c r="H50" s="9"/>
      <x:c r="I50" s="9"/>
      <x:c r="J50" s="9"/>
      <x:c r="K50" s="9"/>
      <x:c r="L50" s="9"/>
    </x:row>
    <x:row r="51">
      <x:c r="A51" s="9"/>
      <x:c r="B51" s="9"/>
      <x:c r="C51" s="9"/>
      <x:c r="D51" s="9"/>
      <x:c r="E51" s="9"/>
      <x:c r="F51" s="9"/>
      <x:c r="G51" s="9"/>
      <x:c r="H51" s="9"/>
      <x:c r="I51" s="9"/>
      <x:c r="J51" s="9"/>
      <x:c r="K51" s="9"/>
      <x:c r="L51" s="9"/>
    </x:row>
    <x:row r="52">
      <x:c r="A52" s="9"/>
      <x:c r="B52" s="9"/>
      <x:c r="C52" s="9"/>
      <x:c r="D52" s="9"/>
      <x:c r="E52" s="9"/>
      <x:c r="F52" s="9"/>
      <x:c r="G52" s="9"/>
      <x:c r="H52" s="9"/>
      <x:c r="I52" s="9"/>
      <x:c r="J52" s="9"/>
      <x:c r="K52" s="9"/>
      <x:c r="L52" s="9"/>
    </x:row>
    <x:row r="53">
      <x:c r="A53" s="9"/>
      <x:c r="B53" s="9"/>
      <x:c r="C53" s="9"/>
      <x:c r="D53" s="9"/>
      <x:c r="E53" s="9"/>
      <x:c r="F53" s="9"/>
      <x:c r="G53" s="9"/>
      <x:c r="H53" s="9"/>
      <x:c r="I53" s="9"/>
      <x:c r="J53" s="9"/>
      <x:c r="K53" s="9"/>
      <x:c r="L53" s="9"/>
    </x:row>
    <x:row r="54">
      <x:c r="A54" s="9"/>
      <x:c r="B54" s="9"/>
      <x:c r="C54" s="9"/>
      <x:c r="D54" s="9"/>
      <x:c r="E54" s="9"/>
      <x:c r="F54" s="9"/>
      <x:c r="G54" s="9"/>
      <x:c r="H54" s="9"/>
      <x:c r="I54" s="9"/>
      <x:c r="J54" s="9"/>
      <x:c r="K54" s="9"/>
      <x:c r="L54" s="9"/>
    </x:row>
    <x:row r="55">
      <x:c r="A55" s="9"/>
      <x:c r="B55" s="9"/>
      <x:c r="C55" s="9"/>
      <x:c r="D55" s="9"/>
      <x:c r="E55" s="9"/>
      <x:c r="F55" s="9"/>
      <x:c r="G55" s="9"/>
      <x:c r="H55" s="9"/>
      <x:c r="I55" s="9"/>
      <x:c r="J55" s="9"/>
      <x:c r="K55" s="9"/>
      <x:c r="L55" s="9"/>
    </x:row>
    <x:row r="56">
      <x:c r="A56" s="9"/>
      <x:c r="B56" s="9"/>
      <x:c r="C56" s="9"/>
      <x:c r="D56" s="9"/>
      <x:c r="E56" s="9"/>
      <x:c r="F56" s="9"/>
      <x:c r="G56" s="9"/>
      <x:c r="H56" s="9"/>
      <x:c r="I56" s="9"/>
      <x:c r="J56" s="9"/>
      <x:c r="K56" s="9"/>
      <x:c r="L56" s="9"/>
    </x:row>
    <x:row r="57">
      <x:c r="A57" s="9"/>
      <x:c r="B57" s="9"/>
      <x:c r="C57" s="9"/>
      <x:c r="D57" s="9"/>
      <x:c r="E57" s="9"/>
      <x:c r="F57" s="9"/>
      <x:c r="G57" s="9"/>
      <x:c r="H57" s="9"/>
      <x:c r="I57" s="9"/>
      <x:c r="J57" s="9"/>
      <x:c r="K57" s="9"/>
      <x:c r="L57" s="9"/>
    </x:row>
    <x:row r="58">
      <x:c r="A58" s="9"/>
      <x:c r="B58" s="9"/>
      <x:c r="C58" s="9"/>
      <x:c r="D58" s="9"/>
      <x:c r="E58" s="9"/>
      <x:c r="F58" s="9"/>
      <x:c r="G58" s="9"/>
      <x:c r="H58" s="9"/>
      <x:c r="I58" s="9"/>
      <x:c r="J58" s="9"/>
      <x:c r="K58" s="9"/>
      <x:c r="L58" s="9"/>
    </x:row>
    <x:row r="59">
      <x:c r="A59" s="9"/>
      <x:c r="B59" s="9"/>
      <x:c r="C59" s="9"/>
      <x:c r="D59" s="9"/>
      <x:c r="E59" s="9"/>
      <x:c r="F59" s="9"/>
      <x:c r="G59" s="9"/>
      <x:c r="H59" s="9"/>
      <x:c r="I59" s="9"/>
      <x:c r="J59" s="9"/>
      <x:c r="K59" s="9"/>
      <x:c r="L59" s="9"/>
    </x:row>
    <x:row r="60">
      <x:c r="A60" s="9"/>
      <x:c r="B60" s="9"/>
      <x:c r="C60" s="9"/>
      <x:c r="D60" s="9"/>
      <x:c r="E60" s="9"/>
      <x:c r="F60" s="9"/>
      <x:c r="G60" s="9"/>
      <x:c r="H60" s="9"/>
      <x:c r="I60" s="9"/>
      <x:c r="J60" s="9"/>
      <x:c r="K60" s="9"/>
      <x:c r="L60" s="9"/>
    </x:row>
    <x:row r="61">
      <x:c r="A61" s="9"/>
      <x:c r="B61" s="9"/>
      <x:c r="C61" s="9"/>
      <x:c r="D61" s="9"/>
      <x:c r="E61" s="9"/>
      <x:c r="F61" s="9"/>
      <x:c r="G61" s="9"/>
      <x:c r="H61" s="9"/>
      <x:c r="I61" s="9"/>
      <x:c r="J61" s="9"/>
      <x:c r="K61" s="9"/>
      <x:c r="L61" s="9"/>
    </x:row>
    <x:row r="62">
      <x:c r="A62" s="9"/>
      <x:c r="B62" s="9"/>
      <x:c r="C62" s="9"/>
      <x:c r="D62" s="9"/>
      <x:c r="E62" s="9"/>
      <x:c r="F62" s="9"/>
      <x:c r="G62" s="9"/>
      <x:c r="H62" s="9"/>
      <x:c r="I62" s="9"/>
      <x:c r="J62" s="9"/>
      <x:c r="K62" s="9"/>
      <x:c r="L62" s="9"/>
    </x:row>
    <x:row r="63">
      <x:c r="A63" s="9"/>
      <x:c r="B63" s="9"/>
      <x:c r="C63" s="9"/>
      <x:c r="D63" s="9"/>
      <x:c r="E63" s="9"/>
      <x:c r="F63" s="9"/>
      <x:c r="G63" s="9"/>
      <x:c r="H63" s="9"/>
      <x:c r="I63" s="9"/>
      <x:c r="J63" s="9"/>
      <x:c r="K63" s="9"/>
      <x:c r="L63" s="9"/>
    </x:row>
    <x:row r="64">
      <x:c r="A64" s="9"/>
      <x:c r="B64" s="9"/>
      <x:c r="C64" s="9"/>
      <x:c r="D64" s="9"/>
      <x:c r="E64" s="9"/>
      <x:c r="F64" s="9"/>
      <x:c r="G64" s="9"/>
      <x:c r="H64" s="9"/>
      <x:c r="I64" s="9"/>
      <x:c r="J64" s="9"/>
      <x:c r="K64" s="9"/>
      <x:c r="L64" s="9"/>
    </x:row>
    <x:row r="65">
      <x:c r="A65" s="9"/>
      <x:c r="B65" s="9"/>
      <x:c r="C65" s="9"/>
      <x:c r="D65" s="9"/>
      <x:c r="E65" s="9"/>
      <x:c r="F65" s="9"/>
      <x:c r="G65" s="9"/>
      <x:c r="H65" s="9"/>
      <x:c r="I65" s="9"/>
      <x:c r="J65" s="9"/>
      <x:c r="K65" s="9"/>
      <x:c r="L65" s="9"/>
    </x:row>
    <x:row r="66">
      <x:c r="A66" s="9"/>
      <x:c r="B66" s="9"/>
      <x:c r="C66" s="9"/>
      <x:c r="D66" s="9"/>
      <x:c r="E66" s="9"/>
      <x:c r="F66" s="9"/>
      <x:c r="G66" s="9"/>
      <x:c r="H66" s="9"/>
      <x:c r="I66" s="9"/>
      <x:c r="J66" s="9"/>
      <x:c r="K66" s="9"/>
      <x:c r="L66" s="9"/>
    </x:row>
    <x:row r="67">
      <x:c r="A67" s="9"/>
      <x:c r="B67" s="9"/>
      <x:c r="C67" s="9"/>
      <x:c r="D67" s="9"/>
      <x:c r="E67" s="9"/>
      <x:c r="F67" s="9"/>
      <x:c r="G67" s="9"/>
      <x:c r="H67" s="9"/>
      <x:c r="I67" s="9"/>
      <x:c r="J67" s="9"/>
      <x:c r="K67" s="9"/>
      <x:c r="L67" s="9"/>
    </x:row>
    <x:row r="68">
      <x:c r="A68" s="9"/>
      <x:c r="B68" s="9"/>
      <x:c r="C68" s="9"/>
      <x:c r="D68" s="9"/>
      <x:c r="E68" s="9"/>
      <x:c r="F68" s="9"/>
      <x:c r="G68" s="9"/>
      <x:c r="H68" s="9"/>
      <x:c r="I68" s="9"/>
      <x:c r="J68" s="9"/>
      <x:c r="K68" s="9"/>
      <x:c r="L68" s="9"/>
    </x:row>
    <x:row r="69">
      <x:c r="A69" s="9"/>
      <x:c r="B69" s="9"/>
      <x:c r="C69" s="9"/>
      <x:c r="D69" s="9"/>
      <x:c r="E69" s="9"/>
      <x:c r="F69" s="9"/>
      <x:c r="G69" s="9"/>
      <x:c r="H69" s="9"/>
      <x:c r="I69" s="9"/>
      <x:c r="J69" s="9"/>
      <x:c r="K69" s="9"/>
      <x:c r="L69" s="9"/>
    </x:row>
    <x:row r="70">
      <x:c r="A70" s="9"/>
      <x:c r="B70" s="9"/>
      <x:c r="C70" s="9"/>
      <x:c r="D70" s="9"/>
      <x:c r="E70" s="9"/>
      <x:c r="F70" s="9"/>
      <x:c r="G70" s="9"/>
      <x:c r="H70" s="9"/>
      <x:c r="I70" s="9"/>
      <x:c r="J70" s="9"/>
      <x:c r="K70" s="9"/>
      <x:c r="L70" s="9"/>
    </x:row>
    <x:row r="71">
      <x:c r="A71" s="9"/>
      <x:c r="B71" s="9"/>
      <x:c r="C71" s="9"/>
      <x:c r="D71" s="9"/>
      <x:c r="E71" s="9"/>
      <x:c r="F71" s="9"/>
      <x:c r="G71" s="9"/>
      <x:c r="H71" s="9"/>
      <x:c r="I71" s="9"/>
      <x:c r="J71" s="9"/>
      <x:c r="K71" s="9"/>
      <x:c r="L71" s="9"/>
    </x:row>
    <x:row r="72">
      <x:c r="A72" s="9"/>
      <x:c r="B72" s="9"/>
      <x:c r="C72" s="9"/>
      <x:c r="D72" s="9"/>
      <x:c r="E72" s="9"/>
      <x:c r="F72" s="9"/>
      <x:c r="G72" s="9"/>
      <x:c r="H72" s="9"/>
      <x:c r="I72" s="9"/>
      <x:c r="J72" s="9"/>
      <x:c r="K72" s="9"/>
      <x:c r="L72" s="9"/>
    </x:row>
    <x:row r="73">
      <x:c r="A73" s="9"/>
      <x:c r="B73" s="9"/>
      <x:c r="C73" s="9"/>
      <x:c r="D73" s="9"/>
      <x:c r="E73" s="9"/>
      <x:c r="F73" s="9"/>
      <x:c r="G73" s="9"/>
      <x:c r="H73" s="9"/>
      <x:c r="I73" s="9"/>
      <x:c r="J73" s="9"/>
      <x:c r="K73" s="9"/>
      <x:c r="L73" s="9"/>
    </x:row>
    <x:row r="74">
      <x:c r="A74" s="9"/>
      <x:c r="B74" s="9"/>
      <x:c r="C74" s="9"/>
      <x:c r="D74" s="9"/>
      <x:c r="E74" s="9"/>
      <x:c r="F74" s="9"/>
      <x:c r="G74" s="9"/>
      <x:c r="H74" s="9"/>
      <x:c r="I74" s="9"/>
      <x:c r="J74" s="9"/>
      <x:c r="K74" s="9"/>
      <x:c r="L74" s="9"/>
    </x:row>
    <x:row r="75">
      <x:c r="A75" s="9"/>
      <x:c r="B75" s="9"/>
      <x:c r="C75" s="9"/>
      <x:c r="D75" s="9"/>
      <x:c r="E75" s="9"/>
      <x:c r="F75" s="9"/>
      <x:c r="G75" s="9"/>
      <x:c r="H75" s="9"/>
      <x:c r="I75" s="9"/>
      <x:c r="J75" s="9"/>
      <x:c r="K75" s="9"/>
      <x:c r="L75" s="9"/>
    </x:row>
    <x:row r="76">
      <x:c r="A76" s="9"/>
      <x:c r="B76" s="9"/>
      <x:c r="C76" s="9"/>
      <x:c r="D76" s="9"/>
      <x:c r="E76" s="9"/>
      <x:c r="F76" s="9"/>
      <x:c r="G76" s="9"/>
      <x:c r="H76" s="9"/>
      <x:c r="I76" s="9"/>
      <x:c r="J76" s="9"/>
      <x:c r="K76" s="9"/>
      <x:c r="L76" s="9"/>
    </x:row>
    <x:row r="77">
      <x:c r="A77" s="9"/>
      <x:c r="B77" s="9"/>
      <x:c r="C77" s="9"/>
      <x:c r="D77" s="9"/>
      <x:c r="E77" s="9"/>
      <x:c r="F77" s="9"/>
      <x:c r="G77" s="9"/>
      <x:c r="H77" s="9"/>
      <x:c r="I77" s="9"/>
      <x:c r="J77" s="9"/>
      <x:c r="K77" s="9"/>
      <x:c r="L77" s="9"/>
    </x:row>
    <x:row r="78">
      <x:c r="A78" s="9"/>
      <x:c r="B78" s="9"/>
      <x:c r="C78" s="9"/>
      <x:c r="D78" s="9"/>
      <x:c r="E78" s="9"/>
      <x:c r="F78" s="9"/>
      <x:c r="G78" s="9"/>
      <x:c r="H78" s="9"/>
      <x:c r="I78" s="9"/>
      <x:c r="J78" s="9"/>
      <x:c r="K78" s="9"/>
      <x:c r="L78" s="9"/>
    </x:row>
    <x:row r="79">
      <x:c r="A79" s="9"/>
      <x:c r="B79" s="9"/>
      <x:c r="C79" s="9"/>
      <x:c r="D79" s="9"/>
      <x:c r="E79" s="9"/>
      <x:c r="F79" s="9"/>
      <x:c r="G79" s="9"/>
      <x:c r="H79" s="9"/>
      <x:c r="I79" s="9"/>
      <x:c r="J79" s="9"/>
      <x:c r="K79" s="9"/>
      <x:c r="L79" s="9"/>
    </x:row>
    <x:row r="80">
      <x:c r="A80" s="9"/>
      <x:c r="B80" s="9"/>
      <x:c r="C80" s="9"/>
      <x:c r="D80" s="9"/>
      <x:c r="E80" s="9"/>
      <x:c r="F80" s="9"/>
      <x:c r="G80" s="9"/>
      <x:c r="H80" s="9"/>
      <x:c r="I80" s="9"/>
      <x:c r="J80" s="9"/>
      <x:c r="K80" s="9"/>
      <x:c r="L80" s="9"/>
    </x:row>
  </x:sheetData>
  <x:mergeCells>
    <x:mergeCell ref="A1:L1"/>
    <x:mergeCell ref="A2:L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</x:cols>
  <x:sheetData>
    <x:row r="1" ht="22" customHeight="1">
      <x:c r="A1" s="5" t="str">
        <x:v>Audit</x:v>
      </x:c>
      <x:c r="B1" s="9"/>
      <x:c r="C1" s="9"/>
      <x:c r="D1" s="9"/>
      <x:c r="E1" s="9"/>
      <x:c r="F1" s="9"/>
      <x:c r="G1" s="9"/>
      <x:c r="H1" s="9"/>
      <x:c r="I1" s="9"/>
      <x:c r="J1" s="9"/>
      <x:c r="K1" s="9"/>
      <x:c r="L1" s="9"/>
    </x:row>
    <x:row r="2" ht="22" customHeight="1">
      <x:c r="A2" s="10" t="str">
        <x:v>Testes de reconciliação do modelo | Dados fictícios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</x:row>
    <x:row r="3">
      <x:c r="A3" s="11"/>
      <x:c r="B3" s="11"/>
      <x:c r="C3" s="11"/>
      <x:c r="D3" s="11"/>
      <x:c r="E3" s="11"/>
      <x:c r="F3" s="11"/>
      <x:c r="G3" s="11"/>
      <x:c r="H3" s="11"/>
      <x:c r="I3" s="11"/>
      <x:c r="J3" s="11"/>
      <x:c r="K3" s="11"/>
      <x:c r="L3" s="11"/>
    </x:row>
    <x:row r="4">
      <x:c r="A4" s="9"/>
      <x:c r="B4" s="9"/>
      <x:c r="C4" s="9"/>
      <x:c r="D4" s="9"/>
      <x:c r="E4" s="9"/>
      <x:c r="F4" s="9"/>
      <x:c r="G4" s="9"/>
      <x:c r="H4" s="9"/>
      <x:c r="I4" s="9"/>
      <x:c r="J4" s="9"/>
      <x:c r="K4" s="9"/>
      <x:c r="L4" s="9"/>
    </x:row>
    <x:row r="5">
      <x:c r="A5" s="35" t="str">
        <x:v>Teste</x:v>
      </x:c>
      <x:c r="B5" s="36" t="str">
        <x:v>Diferença</x:v>
      </x:c>
      <x:c r="C5" s="37" t="str">
        <x:v>Status</x:v>
      </x:c>
      <x:c r="D5" s="9"/>
      <x:c r="E5" s="9"/>
      <x:c r="F5" s="9"/>
      <x:c r="G5" s="9"/>
      <x:c r="H5" s="9"/>
      <x:c r="I5" s="9"/>
      <x:c r="J5" s="9"/>
      <x:c r="K5" s="9"/>
      <x:c r="L5" s="9"/>
    </x:row>
    <x:row r="6">
      <x:c r="A6" s="38" t="str">
        <x:v>EBITDA = lucro bruto - opex</x:v>
      </x:c>
      <x:c r="B6" s="90" t="n">
        <x:f>SUM(Forecast!B12:M12)-SUM(Forecast!B10:M10)+SUM(Forecast!B11:M11)</x:f>
        <x:v>-2.3283064365386963e-10</x:v>
      </x:c>
      <x:c r="C6" s="91" t="str">
        <x:f>IF(ABS(B6)&lt;0.01,"OK","Revisar")</x:f>
        <x:v>OK</x:v>
      </x:c>
      <x:c r="D6" s="9"/>
      <x:c r="E6" s="9"/>
      <x:c r="F6" s="9"/>
      <x:c r="G6" s="9"/>
      <x:c r="H6" s="9"/>
      <x:c r="I6" s="9"/>
      <x:c r="J6" s="9"/>
      <x:c r="K6" s="9"/>
      <x:c r="L6" s="9"/>
    </x:row>
    <x:row r="7">
      <x:c r="A7" s="38" t="str">
        <x:v>Caixa final = caixa inicial + FCL</x:v>
      </x:c>
      <x:c r="B7" s="90" t="n">
        <x:f>Forecast!M18-Forecast!M17-Forecast!M16</x:f>
        <x:v>2.9103830456733704e-11</x:v>
      </x:c>
      <x:c r="C7" s="91" t="str">
        <x:f>IF(ABS(B7)&lt;0.01,"OK","Revisar")</x:f>
        <x:v>OK</x:v>
      </x:c>
      <x:c r="D7" s="9"/>
      <x:c r="E7" s="9"/>
      <x:c r="F7" s="9"/>
      <x:c r="G7" s="9"/>
      <x:c r="H7" s="9"/>
      <x:c r="I7" s="9"/>
      <x:c r="J7" s="9"/>
      <x:c r="K7" s="9"/>
      <x:c r="L7" s="9"/>
    </x:row>
    <x:row r="8">
      <x:c r="A8" s="40" t="str">
        <x:v>Margem EBITDA calculada</x:v>
      </x:c>
      <x:c r="B8" s="92" t="n">
        <x:f>SUM(Forecast!B13:M13)-SUM(Forecast!B12:M12/Forecast!B7:M7)</x:f>
        <x:v>0</x:v>
      </x:c>
      <x:c r="C8" s="93" t="str">
        <x:f>IF(ABS(B8)&lt;0.01,"OK","Revisar")</x:f>
        <x:v>OK</x:v>
      </x:c>
      <x:c r="D8" s="9"/>
      <x:c r="E8" s="9"/>
      <x:c r="F8" s="9"/>
      <x:c r="G8" s="9"/>
      <x:c r="H8" s="9"/>
      <x:c r="I8" s="9"/>
      <x:c r="J8" s="9"/>
      <x:c r="K8" s="9"/>
      <x:c r="L8" s="9"/>
    </x:row>
    <x:row r="9">
      <x:c r="A9" s="9"/>
      <x:c r="B9" s="9"/>
      <x:c r="C9" s="9"/>
      <x:c r="D9" s="9"/>
      <x:c r="E9" s="9"/>
      <x:c r="F9" s="9"/>
      <x:c r="G9" s="9"/>
      <x:c r="H9" s="9"/>
      <x:c r="I9" s="9"/>
      <x:c r="J9" s="9"/>
      <x:c r="K9" s="9"/>
      <x:c r="L9" s="9"/>
    </x:row>
    <x:row r="10">
      <x:c r="A10" s="9"/>
      <x:c r="B10" s="9"/>
      <x:c r="C10" s="9"/>
      <x:c r="D10" s="9"/>
      <x:c r="E10" s="9"/>
      <x:c r="F10" s="9"/>
      <x:c r="G10" s="9"/>
      <x:c r="H10" s="9"/>
      <x:c r="I10" s="9"/>
      <x:c r="J10" s="9"/>
      <x:c r="K10" s="9"/>
      <x:c r="L10" s="9"/>
    </x:row>
    <x:row r="11">
      <x:c r="A11" s="9"/>
      <x:c r="B11" s="9"/>
      <x:c r="C11" s="9"/>
      <x:c r="D11" s="9"/>
      <x:c r="E11" s="9"/>
      <x:c r="F11" s="9"/>
      <x:c r="G11" s="9"/>
      <x:c r="H11" s="9"/>
      <x:c r="I11" s="9"/>
      <x:c r="J11" s="9"/>
      <x:c r="K11" s="9"/>
      <x:c r="L11" s="9"/>
    </x:row>
    <x:row r="12">
      <x:c r="A12" s="9"/>
      <x:c r="B12" s="9"/>
      <x:c r="C12" s="9"/>
      <x:c r="D12" s="9"/>
      <x:c r="E12" s="9"/>
      <x:c r="F12" s="9"/>
      <x:c r="G12" s="9"/>
      <x:c r="H12" s="9"/>
      <x:c r="I12" s="9"/>
      <x:c r="J12" s="9"/>
      <x:c r="K12" s="9"/>
      <x:c r="L12" s="9"/>
    </x:row>
    <x:row r="13">
      <x:c r="A13" s="9"/>
      <x:c r="B13" s="9"/>
      <x:c r="C13" s="9"/>
      <x:c r="D13" s="9"/>
      <x:c r="E13" s="9"/>
      <x:c r="F13" s="9"/>
      <x:c r="G13" s="9"/>
      <x:c r="H13" s="9"/>
      <x:c r="I13" s="9"/>
      <x:c r="J13" s="9"/>
      <x:c r="K13" s="9"/>
      <x:c r="L13" s="9"/>
    </x:row>
    <x:row r="14">
      <x:c r="A14" s="9"/>
      <x:c r="B14" s="9"/>
      <x:c r="C14" s="9"/>
      <x:c r="D14" s="9"/>
      <x:c r="E14" s="9"/>
      <x:c r="F14" s="9"/>
      <x:c r="G14" s="9"/>
      <x:c r="H14" s="9"/>
      <x:c r="I14" s="9"/>
      <x:c r="J14" s="9"/>
      <x:c r="K14" s="9"/>
      <x:c r="L14" s="9"/>
    </x:row>
    <x:row r="15">
      <x:c r="A15" s="9"/>
      <x:c r="B15" s="9"/>
      <x:c r="C15" s="9"/>
      <x:c r="D15" s="9"/>
      <x:c r="E15" s="9"/>
      <x:c r="F15" s="9"/>
      <x:c r="G15" s="9"/>
      <x:c r="H15" s="9"/>
      <x:c r="I15" s="9"/>
      <x:c r="J15" s="9"/>
      <x:c r="K15" s="9"/>
      <x:c r="L15" s="9"/>
    </x:row>
    <x:row r="16">
      <x:c r="A16" s="9"/>
      <x:c r="B16" s="9"/>
      <x:c r="C16" s="9"/>
      <x:c r="D16" s="9"/>
      <x:c r="E16" s="9"/>
      <x:c r="F16" s="9"/>
      <x:c r="G16" s="9"/>
      <x:c r="H16" s="9"/>
      <x:c r="I16" s="9"/>
      <x:c r="J16" s="9"/>
      <x:c r="K16" s="9"/>
      <x:c r="L16" s="9"/>
    </x:row>
    <x:row r="17">
      <x:c r="A17" s="9"/>
      <x:c r="B17" s="9"/>
      <x:c r="C17" s="9"/>
      <x:c r="D17" s="9"/>
      <x:c r="E17" s="9"/>
      <x:c r="F17" s="9"/>
      <x:c r="G17" s="9"/>
      <x:c r="H17" s="9"/>
      <x:c r="I17" s="9"/>
      <x:c r="J17" s="9"/>
      <x:c r="K17" s="9"/>
      <x:c r="L17" s="9"/>
    </x:row>
    <x:row r="18">
      <x:c r="A18" s="9"/>
      <x:c r="B18" s="9"/>
      <x:c r="C18" s="9"/>
      <x:c r="D18" s="9"/>
      <x:c r="E18" s="9"/>
      <x:c r="F18" s="9"/>
      <x:c r="G18" s="9"/>
      <x:c r="H18" s="9"/>
      <x:c r="I18" s="9"/>
      <x:c r="J18" s="9"/>
      <x:c r="K18" s="9"/>
      <x:c r="L18" s="9"/>
    </x:row>
    <x:row r="19">
      <x:c r="A19" s="9"/>
      <x:c r="B19" s="9"/>
      <x:c r="C19" s="9"/>
      <x:c r="D19" s="9"/>
      <x:c r="E19" s="9"/>
      <x:c r="F19" s="9"/>
      <x:c r="G19" s="9"/>
      <x:c r="H19" s="9"/>
      <x:c r="I19" s="9"/>
      <x:c r="J19" s="9"/>
      <x:c r="K19" s="9"/>
      <x:c r="L19" s="9"/>
    </x:row>
    <x:row r="20">
      <x:c r="A20" s="9"/>
      <x:c r="B20" s="9"/>
      <x:c r="C20" s="9"/>
      <x:c r="D20" s="9"/>
      <x:c r="E20" s="9"/>
      <x:c r="F20" s="9"/>
      <x:c r="G20" s="9"/>
      <x:c r="H20" s="9"/>
      <x:c r="I20" s="9"/>
      <x:c r="J20" s="9"/>
      <x:c r="K20" s="9"/>
      <x:c r="L20" s="9"/>
    </x:row>
    <x:row r="21">
      <x:c r="A21" s="9"/>
      <x:c r="B21" s="9"/>
      <x:c r="C21" s="9"/>
      <x:c r="D21" s="9"/>
      <x:c r="E21" s="9"/>
      <x:c r="F21" s="9"/>
      <x:c r="G21" s="9"/>
      <x:c r="H21" s="9"/>
      <x:c r="I21" s="9"/>
      <x:c r="J21" s="9"/>
      <x:c r="K21" s="9"/>
      <x:c r="L21" s="9"/>
    </x:row>
    <x:row r="22">
      <x:c r="A22" s="9"/>
      <x:c r="B22" s="9"/>
      <x:c r="C22" s="9"/>
      <x:c r="D22" s="9"/>
      <x:c r="E22" s="9"/>
      <x:c r="F22" s="9"/>
      <x:c r="G22" s="9"/>
      <x:c r="H22" s="9"/>
      <x:c r="I22" s="9"/>
      <x:c r="J22" s="9"/>
      <x:c r="K22" s="9"/>
      <x:c r="L22" s="9"/>
    </x:row>
    <x:row r="23">
      <x:c r="A23" s="9"/>
      <x:c r="B23" s="9"/>
      <x:c r="C23" s="9"/>
      <x:c r="D23" s="9"/>
      <x:c r="E23" s="9"/>
      <x:c r="F23" s="9"/>
      <x:c r="G23" s="9"/>
      <x:c r="H23" s="9"/>
      <x:c r="I23" s="9"/>
      <x:c r="J23" s="9"/>
      <x:c r="K23" s="9"/>
      <x:c r="L23" s="9"/>
    </x:row>
    <x:row r="24">
      <x:c r="A24" s="9"/>
      <x:c r="B24" s="9"/>
      <x:c r="C24" s="9"/>
      <x:c r="D24" s="9"/>
      <x:c r="E24" s="9"/>
      <x:c r="F24" s="9"/>
      <x:c r="G24" s="9"/>
      <x:c r="H24" s="9"/>
      <x:c r="I24" s="9"/>
      <x:c r="J24" s="9"/>
      <x:c r="K24" s="9"/>
      <x:c r="L24" s="9"/>
    </x:row>
    <x:row r="25">
      <x:c r="A25" s="9"/>
      <x:c r="B25" s="9"/>
      <x:c r="C25" s="9"/>
      <x:c r="D25" s="9"/>
      <x:c r="E25" s="9"/>
      <x:c r="F25" s="9"/>
      <x:c r="G25" s="9"/>
      <x:c r="H25" s="9"/>
      <x:c r="I25" s="9"/>
      <x:c r="J25" s="9"/>
      <x:c r="K25" s="9"/>
      <x:c r="L25" s="9"/>
    </x:row>
    <x:row r="26">
      <x:c r="A26" s="9"/>
      <x:c r="B26" s="9"/>
      <x:c r="C26" s="9"/>
      <x:c r="D26" s="9"/>
      <x:c r="E26" s="9"/>
      <x:c r="F26" s="9"/>
      <x:c r="G26" s="9"/>
      <x:c r="H26" s="9"/>
      <x:c r="I26" s="9"/>
      <x:c r="J26" s="9"/>
      <x:c r="K26" s="9"/>
      <x:c r="L26" s="9"/>
    </x:row>
    <x:row r="27">
      <x:c r="A27" s="9"/>
      <x:c r="B27" s="9"/>
      <x:c r="C27" s="9"/>
      <x:c r="D27" s="9"/>
      <x:c r="E27" s="9"/>
      <x:c r="F27" s="9"/>
      <x:c r="G27" s="9"/>
      <x:c r="H27" s="9"/>
      <x:c r="I27" s="9"/>
      <x:c r="J27" s="9"/>
      <x:c r="K27" s="9"/>
      <x:c r="L27" s="9"/>
    </x:row>
    <x:row r="28">
      <x:c r="A28" s="9"/>
      <x:c r="B28" s="9"/>
      <x:c r="C28" s="9"/>
      <x:c r="D28" s="9"/>
      <x:c r="E28" s="9"/>
      <x:c r="F28" s="9"/>
      <x:c r="G28" s="9"/>
      <x:c r="H28" s="9"/>
      <x:c r="I28" s="9"/>
      <x:c r="J28" s="9"/>
      <x:c r="K28" s="9"/>
      <x:c r="L28" s="9"/>
    </x:row>
    <x:row r="29">
      <x:c r="A29" s="9"/>
      <x:c r="B29" s="9"/>
      <x:c r="C29" s="9"/>
      <x:c r="D29" s="9"/>
      <x:c r="E29" s="9"/>
      <x:c r="F29" s="9"/>
      <x:c r="G29" s="9"/>
      <x:c r="H29" s="9"/>
      <x:c r="I29" s="9"/>
      <x:c r="J29" s="9"/>
      <x:c r="K29" s="9"/>
      <x:c r="L29" s="9"/>
    </x:row>
    <x:row r="30">
      <x:c r="A30" s="9"/>
      <x:c r="B30" s="9"/>
      <x:c r="C30" s="9"/>
      <x:c r="D30" s="9"/>
      <x:c r="E30" s="9"/>
      <x:c r="F30" s="9"/>
      <x:c r="G30" s="9"/>
      <x:c r="H30" s="9"/>
      <x:c r="I30" s="9"/>
      <x:c r="J30" s="9"/>
      <x:c r="K30" s="9"/>
      <x:c r="L30" s="9"/>
    </x:row>
    <x:row r="31">
      <x:c r="A31" s="9"/>
      <x:c r="B31" s="9"/>
      <x:c r="C31" s="9"/>
      <x:c r="D31" s="9"/>
      <x:c r="E31" s="9"/>
      <x:c r="F31" s="9"/>
      <x:c r="G31" s="9"/>
      <x:c r="H31" s="9"/>
      <x:c r="I31" s="9"/>
      <x:c r="J31" s="9"/>
      <x:c r="K31" s="9"/>
      <x:c r="L31" s="9"/>
    </x:row>
    <x:row r="32">
      <x:c r="A32" s="9"/>
      <x:c r="B32" s="9"/>
      <x:c r="C32" s="9"/>
      <x:c r="D32" s="9"/>
      <x:c r="E32" s="9"/>
      <x:c r="F32" s="9"/>
      <x:c r="G32" s="9"/>
      <x:c r="H32" s="9"/>
      <x:c r="I32" s="9"/>
      <x:c r="J32" s="9"/>
      <x:c r="K32" s="9"/>
      <x:c r="L32" s="9"/>
    </x:row>
    <x:row r="33">
      <x:c r="A33" s="9"/>
      <x:c r="B33" s="9"/>
      <x:c r="C33" s="9"/>
      <x:c r="D33" s="9"/>
      <x:c r="E33" s="9"/>
      <x:c r="F33" s="9"/>
      <x:c r="G33" s="9"/>
      <x:c r="H33" s="9"/>
      <x:c r="I33" s="9"/>
      <x:c r="J33" s="9"/>
      <x:c r="K33" s="9"/>
      <x:c r="L33" s="9"/>
    </x:row>
    <x:row r="34">
      <x:c r="A34" s="9"/>
      <x:c r="B34" s="9"/>
      <x:c r="C34" s="9"/>
      <x:c r="D34" s="9"/>
      <x:c r="E34" s="9"/>
      <x:c r="F34" s="9"/>
      <x:c r="G34" s="9"/>
      <x:c r="H34" s="9"/>
      <x:c r="I34" s="9"/>
      <x:c r="J34" s="9"/>
      <x:c r="K34" s="9"/>
      <x:c r="L34" s="9"/>
    </x:row>
    <x:row r="35">
      <x:c r="A35" s="9"/>
      <x:c r="B35" s="9"/>
      <x:c r="C35" s="9"/>
      <x:c r="D35" s="9"/>
      <x:c r="E35" s="9"/>
      <x:c r="F35" s="9"/>
      <x:c r="G35" s="9"/>
      <x:c r="H35" s="9"/>
      <x:c r="I35" s="9"/>
      <x:c r="J35" s="9"/>
      <x:c r="K35" s="9"/>
      <x:c r="L35" s="9"/>
    </x:row>
    <x:row r="36">
      <x:c r="A36" s="9"/>
      <x:c r="B36" s="9"/>
      <x:c r="C36" s="9"/>
      <x:c r="D36" s="9"/>
      <x:c r="E36" s="9"/>
      <x:c r="F36" s="9"/>
      <x:c r="G36" s="9"/>
      <x:c r="H36" s="9"/>
      <x:c r="I36" s="9"/>
      <x:c r="J36" s="9"/>
      <x:c r="K36" s="9"/>
      <x:c r="L36" s="9"/>
    </x:row>
    <x:row r="37">
      <x:c r="A37" s="9"/>
      <x:c r="B37" s="9"/>
      <x:c r="C37" s="9"/>
      <x:c r="D37" s="9"/>
      <x:c r="E37" s="9"/>
      <x:c r="F37" s="9"/>
      <x:c r="G37" s="9"/>
      <x:c r="H37" s="9"/>
      <x:c r="I37" s="9"/>
      <x:c r="J37" s="9"/>
      <x:c r="K37" s="9"/>
      <x:c r="L37" s="9"/>
    </x:row>
    <x:row r="38">
      <x:c r="A38" s="9"/>
      <x:c r="B38" s="9"/>
      <x:c r="C38" s="9"/>
      <x:c r="D38" s="9"/>
      <x:c r="E38" s="9"/>
      <x:c r="F38" s="9"/>
      <x:c r="G38" s="9"/>
      <x:c r="H38" s="9"/>
      <x:c r="I38" s="9"/>
      <x:c r="J38" s="9"/>
      <x:c r="K38" s="9"/>
      <x:c r="L38" s="9"/>
    </x:row>
    <x:row r="39">
      <x:c r="A39" s="9"/>
      <x:c r="B39" s="9"/>
      <x:c r="C39" s="9"/>
      <x:c r="D39" s="9"/>
      <x:c r="E39" s="9"/>
      <x:c r="F39" s="9"/>
      <x:c r="G39" s="9"/>
      <x:c r="H39" s="9"/>
      <x:c r="I39" s="9"/>
      <x:c r="J39" s="9"/>
      <x:c r="K39" s="9"/>
      <x:c r="L39" s="9"/>
    </x:row>
    <x:row r="40">
      <x:c r="A40" s="9"/>
      <x:c r="B40" s="9"/>
      <x:c r="C40" s="9"/>
      <x:c r="D40" s="9"/>
      <x:c r="E40" s="9"/>
      <x:c r="F40" s="9"/>
      <x:c r="G40" s="9"/>
      <x:c r="H40" s="9"/>
      <x:c r="I40" s="9"/>
      <x:c r="J40" s="9"/>
      <x:c r="K40" s="9"/>
      <x:c r="L40" s="9"/>
    </x:row>
    <x:row r="41">
      <x:c r="A41" s="9"/>
      <x:c r="B41" s="9"/>
      <x:c r="C41" s="9"/>
      <x:c r="D41" s="9"/>
      <x:c r="E41" s="9"/>
      <x:c r="F41" s="9"/>
      <x:c r="G41" s="9"/>
      <x:c r="H41" s="9"/>
      <x:c r="I41" s="9"/>
      <x:c r="J41" s="9"/>
      <x:c r="K41" s="9"/>
      <x:c r="L41" s="9"/>
    </x:row>
    <x:row r="42">
      <x:c r="A42" s="9"/>
      <x:c r="B42" s="9"/>
      <x:c r="C42" s="9"/>
      <x:c r="D42" s="9"/>
      <x:c r="E42" s="9"/>
      <x:c r="F42" s="9"/>
      <x:c r="G42" s="9"/>
      <x:c r="H42" s="9"/>
      <x:c r="I42" s="9"/>
      <x:c r="J42" s="9"/>
      <x:c r="K42" s="9"/>
      <x:c r="L42" s="9"/>
    </x:row>
    <x:row r="43">
      <x:c r="A43" s="9"/>
      <x:c r="B43" s="9"/>
      <x:c r="C43" s="9"/>
      <x:c r="D43" s="9"/>
      <x:c r="E43" s="9"/>
      <x:c r="F43" s="9"/>
      <x:c r="G43" s="9"/>
      <x:c r="H43" s="9"/>
      <x:c r="I43" s="9"/>
      <x:c r="J43" s="9"/>
      <x:c r="K43" s="9"/>
      <x:c r="L43" s="9"/>
    </x:row>
    <x:row r="44">
      <x:c r="A44" s="9"/>
      <x:c r="B44" s="9"/>
      <x:c r="C44" s="9"/>
      <x:c r="D44" s="9"/>
      <x:c r="E44" s="9"/>
      <x:c r="F44" s="9"/>
      <x:c r="G44" s="9"/>
      <x:c r="H44" s="9"/>
      <x:c r="I44" s="9"/>
      <x:c r="J44" s="9"/>
      <x:c r="K44" s="9"/>
      <x:c r="L44" s="9"/>
    </x:row>
    <x:row r="45">
      <x:c r="A45" s="9"/>
      <x:c r="B45" s="9"/>
      <x:c r="C45" s="9"/>
      <x:c r="D45" s="9"/>
      <x:c r="E45" s="9"/>
      <x:c r="F45" s="9"/>
      <x:c r="G45" s="9"/>
      <x:c r="H45" s="9"/>
      <x:c r="I45" s="9"/>
      <x:c r="J45" s="9"/>
      <x:c r="K45" s="9"/>
      <x:c r="L45" s="9"/>
    </x:row>
    <x:row r="46">
      <x:c r="A46" s="9"/>
      <x:c r="B46" s="9"/>
      <x:c r="C46" s="9"/>
      <x:c r="D46" s="9"/>
      <x:c r="E46" s="9"/>
      <x:c r="F46" s="9"/>
      <x:c r="G46" s="9"/>
      <x:c r="H46" s="9"/>
      <x:c r="I46" s="9"/>
      <x:c r="J46" s="9"/>
      <x:c r="K46" s="9"/>
      <x:c r="L46" s="9"/>
    </x:row>
    <x:row r="47">
      <x:c r="A47" s="9"/>
      <x:c r="B47" s="9"/>
      <x:c r="C47" s="9"/>
      <x:c r="D47" s="9"/>
      <x:c r="E47" s="9"/>
      <x:c r="F47" s="9"/>
      <x:c r="G47" s="9"/>
      <x:c r="H47" s="9"/>
      <x:c r="I47" s="9"/>
      <x:c r="J47" s="9"/>
      <x:c r="K47" s="9"/>
      <x:c r="L47" s="9"/>
    </x:row>
    <x:row r="48">
      <x:c r="A48" s="9"/>
      <x:c r="B48" s="9"/>
      <x:c r="C48" s="9"/>
      <x:c r="D48" s="9"/>
      <x:c r="E48" s="9"/>
      <x:c r="F48" s="9"/>
      <x:c r="G48" s="9"/>
      <x:c r="H48" s="9"/>
      <x:c r="I48" s="9"/>
      <x:c r="J48" s="9"/>
      <x:c r="K48" s="9"/>
      <x:c r="L48" s="9"/>
    </x:row>
    <x:row r="49">
      <x:c r="A49" s="9"/>
      <x:c r="B49" s="9"/>
      <x:c r="C49" s="9"/>
      <x:c r="D49" s="9"/>
      <x:c r="E49" s="9"/>
      <x:c r="F49" s="9"/>
      <x:c r="G49" s="9"/>
      <x:c r="H49" s="9"/>
      <x:c r="I49" s="9"/>
      <x:c r="J49" s="9"/>
      <x:c r="K49" s="9"/>
      <x:c r="L49" s="9"/>
    </x:row>
    <x:row r="50">
      <x:c r="A50" s="9"/>
      <x:c r="B50" s="9"/>
      <x:c r="C50" s="9"/>
      <x:c r="D50" s="9"/>
      <x:c r="E50" s="9"/>
      <x:c r="F50" s="9"/>
      <x:c r="G50" s="9"/>
      <x:c r="H50" s="9"/>
      <x:c r="I50" s="9"/>
      <x:c r="J50" s="9"/>
      <x:c r="K50" s="9"/>
      <x:c r="L50" s="9"/>
    </x:row>
    <x:row r="51">
      <x:c r="A51" s="9"/>
      <x:c r="B51" s="9"/>
      <x:c r="C51" s="9"/>
      <x:c r="D51" s="9"/>
      <x:c r="E51" s="9"/>
      <x:c r="F51" s="9"/>
      <x:c r="G51" s="9"/>
      <x:c r="H51" s="9"/>
      <x:c r="I51" s="9"/>
      <x:c r="J51" s="9"/>
      <x:c r="K51" s="9"/>
      <x:c r="L51" s="9"/>
    </x:row>
    <x:row r="52">
      <x:c r="A52" s="9"/>
      <x:c r="B52" s="9"/>
      <x:c r="C52" s="9"/>
      <x:c r="D52" s="9"/>
      <x:c r="E52" s="9"/>
      <x:c r="F52" s="9"/>
      <x:c r="G52" s="9"/>
      <x:c r="H52" s="9"/>
      <x:c r="I52" s="9"/>
      <x:c r="J52" s="9"/>
      <x:c r="K52" s="9"/>
      <x:c r="L52" s="9"/>
    </x:row>
    <x:row r="53">
      <x:c r="A53" s="9"/>
      <x:c r="B53" s="9"/>
      <x:c r="C53" s="9"/>
      <x:c r="D53" s="9"/>
      <x:c r="E53" s="9"/>
      <x:c r="F53" s="9"/>
      <x:c r="G53" s="9"/>
      <x:c r="H53" s="9"/>
      <x:c r="I53" s="9"/>
      <x:c r="J53" s="9"/>
      <x:c r="K53" s="9"/>
      <x:c r="L53" s="9"/>
    </x:row>
    <x:row r="54">
      <x:c r="A54" s="9"/>
      <x:c r="B54" s="9"/>
      <x:c r="C54" s="9"/>
      <x:c r="D54" s="9"/>
      <x:c r="E54" s="9"/>
      <x:c r="F54" s="9"/>
      <x:c r="G54" s="9"/>
      <x:c r="H54" s="9"/>
      <x:c r="I54" s="9"/>
      <x:c r="J54" s="9"/>
      <x:c r="K54" s="9"/>
      <x:c r="L54" s="9"/>
    </x:row>
    <x:row r="55">
      <x:c r="A55" s="9"/>
      <x:c r="B55" s="9"/>
      <x:c r="C55" s="9"/>
      <x:c r="D55" s="9"/>
      <x:c r="E55" s="9"/>
      <x:c r="F55" s="9"/>
      <x:c r="G55" s="9"/>
      <x:c r="H55" s="9"/>
      <x:c r="I55" s="9"/>
      <x:c r="J55" s="9"/>
      <x:c r="K55" s="9"/>
      <x:c r="L55" s="9"/>
    </x:row>
    <x:row r="56">
      <x:c r="A56" s="9"/>
      <x:c r="B56" s="9"/>
      <x:c r="C56" s="9"/>
      <x:c r="D56" s="9"/>
      <x:c r="E56" s="9"/>
      <x:c r="F56" s="9"/>
      <x:c r="G56" s="9"/>
      <x:c r="H56" s="9"/>
      <x:c r="I56" s="9"/>
      <x:c r="J56" s="9"/>
      <x:c r="K56" s="9"/>
      <x:c r="L56" s="9"/>
    </x:row>
    <x:row r="57">
      <x:c r="A57" s="9"/>
      <x:c r="B57" s="9"/>
      <x:c r="C57" s="9"/>
      <x:c r="D57" s="9"/>
      <x:c r="E57" s="9"/>
      <x:c r="F57" s="9"/>
      <x:c r="G57" s="9"/>
      <x:c r="H57" s="9"/>
      <x:c r="I57" s="9"/>
      <x:c r="J57" s="9"/>
      <x:c r="K57" s="9"/>
      <x:c r="L57" s="9"/>
    </x:row>
    <x:row r="58">
      <x:c r="A58" s="9"/>
      <x:c r="B58" s="9"/>
      <x:c r="C58" s="9"/>
      <x:c r="D58" s="9"/>
      <x:c r="E58" s="9"/>
      <x:c r="F58" s="9"/>
      <x:c r="G58" s="9"/>
      <x:c r="H58" s="9"/>
      <x:c r="I58" s="9"/>
      <x:c r="J58" s="9"/>
      <x:c r="K58" s="9"/>
      <x:c r="L58" s="9"/>
    </x:row>
    <x:row r="59">
      <x:c r="A59" s="9"/>
      <x:c r="B59" s="9"/>
      <x:c r="C59" s="9"/>
      <x:c r="D59" s="9"/>
      <x:c r="E59" s="9"/>
      <x:c r="F59" s="9"/>
      <x:c r="G59" s="9"/>
      <x:c r="H59" s="9"/>
      <x:c r="I59" s="9"/>
      <x:c r="J59" s="9"/>
      <x:c r="K59" s="9"/>
      <x:c r="L59" s="9"/>
    </x:row>
    <x:row r="60">
      <x:c r="A60" s="9"/>
      <x:c r="B60" s="9"/>
      <x:c r="C60" s="9"/>
      <x:c r="D60" s="9"/>
      <x:c r="E60" s="9"/>
      <x:c r="F60" s="9"/>
      <x:c r="G60" s="9"/>
      <x:c r="H60" s="9"/>
      <x:c r="I60" s="9"/>
      <x:c r="J60" s="9"/>
      <x:c r="K60" s="9"/>
      <x:c r="L60" s="9"/>
    </x:row>
    <x:row r="61">
      <x:c r="A61" s="9"/>
      <x:c r="B61" s="9"/>
      <x:c r="C61" s="9"/>
      <x:c r="D61" s="9"/>
      <x:c r="E61" s="9"/>
      <x:c r="F61" s="9"/>
      <x:c r="G61" s="9"/>
      <x:c r="H61" s="9"/>
      <x:c r="I61" s="9"/>
      <x:c r="J61" s="9"/>
      <x:c r="K61" s="9"/>
      <x:c r="L61" s="9"/>
    </x:row>
    <x:row r="62">
      <x:c r="A62" s="9"/>
      <x:c r="B62" s="9"/>
      <x:c r="C62" s="9"/>
      <x:c r="D62" s="9"/>
      <x:c r="E62" s="9"/>
      <x:c r="F62" s="9"/>
      <x:c r="G62" s="9"/>
      <x:c r="H62" s="9"/>
      <x:c r="I62" s="9"/>
      <x:c r="J62" s="9"/>
      <x:c r="K62" s="9"/>
      <x:c r="L62" s="9"/>
    </x:row>
    <x:row r="63">
      <x:c r="A63" s="9"/>
      <x:c r="B63" s="9"/>
      <x:c r="C63" s="9"/>
      <x:c r="D63" s="9"/>
      <x:c r="E63" s="9"/>
      <x:c r="F63" s="9"/>
      <x:c r="G63" s="9"/>
      <x:c r="H63" s="9"/>
      <x:c r="I63" s="9"/>
      <x:c r="J63" s="9"/>
      <x:c r="K63" s="9"/>
      <x:c r="L63" s="9"/>
    </x:row>
    <x:row r="64">
      <x:c r="A64" s="9"/>
      <x:c r="B64" s="9"/>
      <x:c r="C64" s="9"/>
      <x:c r="D64" s="9"/>
      <x:c r="E64" s="9"/>
      <x:c r="F64" s="9"/>
      <x:c r="G64" s="9"/>
      <x:c r="H64" s="9"/>
      <x:c r="I64" s="9"/>
      <x:c r="J64" s="9"/>
      <x:c r="K64" s="9"/>
      <x:c r="L64" s="9"/>
    </x:row>
    <x:row r="65">
      <x:c r="A65" s="9"/>
      <x:c r="B65" s="9"/>
      <x:c r="C65" s="9"/>
      <x:c r="D65" s="9"/>
      <x:c r="E65" s="9"/>
      <x:c r="F65" s="9"/>
      <x:c r="G65" s="9"/>
      <x:c r="H65" s="9"/>
      <x:c r="I65" s="9"/>
      <x:c r="J65" s="9"/>
      <x:c r="K65" s="9"/>
      <x:c r="L65" s="9"/>
    </x:row>
    <x:row r="66">
      <x:c r="A66" s="9"/>
      <x:c r="B66" s="9"/>
      <x:c r="C66" s="9"/>
      <x:c r="D66" s="9"/>
      <x:c r="E66" s="9"/>
      <x:c r="F66" s="9"/>
      <x:c r="G66" s="9"/>
      <x:c r="H66" s="9"/>
      <x:c r="I66" s="9"/>
      <x:c r="J66" s="9"/>
      <x:c r="K66" s="9"/>
      <x:c r="L66" s="9"/>
    </x:row>
    <x:row r="67">
      <x:c r="A67" s="9"/>
      <x:c r="B67" s="9"/>
      <x:c r="C67" s="9"/>
      <x:c r="D67" s="9"/>
      <x:c r="E67" s="9"/>
      <x:c r="F67" s="9"/>
      <x:c r="G67" s="9"/>
      <x:c r="H67" s="9"/>
      <x:c r="I67" s="9"/>
      <x:c r="J67" s="9"/>
      <x:c r="K67" s="9"/>
      <x:c r="L67" s="9"/>
    </x:row>
    <x:row r="68">
      <x:c r="A68" s="9"/>
      <x:c r="B68" s="9"/>
      <x:c r="C68" s="9"/>
      <x:c r="D68" s="9"/>
      <x:c r="E68" s="9"/>
      <x:c r="F68" s="9"/>
      <x:c r="G68" s="9"/>
      <x:c r="H68" s="9"/>
      <x:c r="I68" s="9"/>
      <x:c r="J68" s="9"/>
      <x:c r="K68" s="9"/>
      <x:c r="L68" s="9"/>
    </x:row>
    <x:row r="69">
      <x:c r="A69" s="9"/>
      <x:c r="B69" s="9"/>
      <x:c r="C69" s="9"/>
      <x:c r="D69" s="9"/>
      <x:c r="E69" s="9"/>
      <x:c r="F69" s="9"/>
      <x:c r="G69" s="9"/>
      <x:c r="H69" s="9"/>
      <x:c r="I69" s="9"/>
      <x:c r="J69" s="9"/>
      <x:c r="K69" s="9"/>
      <x:c r="L69" s="9"/>
    </x:row>
    <x:row r="70">
      <x:c r="A70" s="9"/>
      <x:c r="B70" s="9"/>
      <x:c r="C70" s="9"/>
      <x:c r="D70" s="9"/>
      <x:c r="E70" s="9"/>
      <x:c r="F70" s="9"/>
      <x:c r="G70" s="9"/>
      <x:c r="H70" s="9"/>
      <x:c r="I70" s="9"/>
      <x:c r="J70" s="9"/>
      <x:c r="K70" s="9"/>
      <x:c r="L70" s="9"/>
    </x:row>
    <x:row r="71">
      <x:c r="A71" s="9"/>
      <x:c r="B71" s="9"/>
      <x:c r="C71" s="9"/>
      <x:c r="D71" s="9"/>
      <x:c r="E71" s="9"/>
      <x:c r="F71" s="9"/>
      <x:c r="G71" s="9"/>
      <x:c r="H71" s="9"/>
      <x:c r="I71" s="9"/>
      <x:c r="J71" s="9"/>
      <x:c r="K71" s="9"/>
      <x:c r="L71" s="9"/>
    </x:row>
    <x:row r="72">
      <x:c r="A72" s="9"/>
      <x:c r="B72" s="9"/>
      <x:c r="C72" s="9"/>
      <x:c r="D72" s="9"/>
      <x:c r="E72" s="9"/>
      <x:c r="F72" s="9"/>
      <x:c r="G72" s="9"/>
      <x:c r="H72" s="9"/>
      <x:c r="I72" s="9"/>
      <x:c r="J72" s="9"/>
      <x:c r="K72" s="9"/>
      <x:c r="L72" s="9"/>
    </x:row>
    <x:row r="73">
      <x:c r="A73" s="9"/>
      <x:c r="B73" s="9"/>
      <x:c r="C73" s="9"/>
      <x:c r="D73" s="9"/>
      <x:c r="E73" s="9"/>
      <x:c r="F73" s="9"/>
      <x:c r="G73" s="9"/>
      <x:c r="H73" s="9"/>
      <x:c r="I73" s="9"/>
      <x:c r="J73" s="9"/>
      <x:c r="K73" s="9"/>
      <x:c r="L73" s="9"/>
    </x:row>
    <x:row r="74">
      <x:c r="A74" s="9"/>
      <x:c r="B74" s="9"/>
      <x:c r="C74" s="9"/>
      <x:c r="D74" s="9"/>
      <x:c r="E74" s="9"/>
      <x:c r="F74" s="9"/>
      <x:c r="G74" s="9"/>
      <x:c r="H74" s="9"/>
      <x:c r="I74" s="9"/>
      <x:c r="J74" s="9"/>
      <x:c r="K74" s="9"/>
      <x:c r="L74" s="9"/>
    </x:row>
    <x:row r="75">
      <x:c r="A75" s="9"/>
      <x:c r="B75" s="9"/>
      <x:c r="C75" s="9"/>
      <x:c r="D75" s="9"/>
      <x:c r="E75" s="9"/>
      <x:c r="F75" s="9"/>
      <x:c r="G75" s="9"/>
      <x:c r="H75" s="9"/>
      <x:c r="I75" s="9"/>
      <x:c r="J75" s="9"/>
      <x:c r="K75" s="9"/>
      <x:c r="L75" s="9"/>
    </x:row>
    <x:row r="76">
      <x:c r="A76" s="9"/>
      <x:c r="B76" s="9"/>
      <x:c r="C76" s="9"/>
      <x:c r="D76" s="9"/>
      <x:c r="E76" s="9"/>
      <x:c r="F76" s="9"/>
      <x:c r="G76" s="9"/>
      <x:c r="H76" s="9"/>
      <x:c r="I76" s="9"/>
      <x:c r="J76" s="9"/>
      <x:c r="K76" s="9"/>
      <x:c r="L76" s="9"/>
    </x:row>
    <x:row r="77">
      <x:c r="A77" s="9"/>
      <x:c r="B77" s="9"/>
      <x:c r="C77" s="9"/>
      <x:c r="D77" s="9"/>
      <x:c r="E77" s="9"/>
      <x:c r="F77" s="9"/>
      <x:c r="G77" s="9"/>
      <x:c r="H77" s="9"/>
      <x:c r="I77" s="9"/>
      <x:c r="J77" s="9"/>
      <x:c r="K77" s="9"/>
      <x:c r="L77" s="9"/>
    </x:row>
    <x:row r="78">
      <x:c r="A78" s="9"/>
      <x:c r="B78" s="9"/>
      <x:c r="C78" s="9"/>
      <x:c r="D78" s="9"/>
      <x:c r="E78" s="9"/>
      <x:c r="F78" s="9"/>
      <x:c r="G78" s="9"/>
      <x:c r="H78" s="9"/>
      <x:c r="I78" s="9"/>
      <x:c r="J78" s="9"/>
      <x:c r="K78" s="9"/>
      <x:c r="L78" s="9"/>
    </x:row>
    <x:row r="79">
      <x:c r="A79" s="9"/>
      <x:c r="B79" s="9"/>
      <x:c r="C79" s="9"/>
      <x:c r="D79" s="9"/>
      <x:c r="E79" s="9"/>
      <x:c r="F79" s="9"/>
      <x:c r="G79" s="9"/>
      <x:c r="H79" s="9"/>
      <x:c r="I79" s="9"/>
      <x:c r="J79" s="9"/>
      <x:c r="K79" s="9"/>
      <x:c r="L79" s="9"/>
    </x:row>
    <x:row r="80">
      <x:c r="A80" s="9"/>
      <x:c r="B80" s="9"/>
      <x:c r="C80" s="9"/>
      <x:c r="D80" s="9"/>
      <x:c r="E80" s="9"/>
      <x:c r="F80" s="9"/>
      <x:c r="G80" s="9"/>
      <x:c r="H80" s="9"/>
      <x:c r="I80" s="9"/>
      <x:c r="J80" s="9"/>
      <x:c r="K80" s="9"/>
      <x:c r="L80" s="9"/>
    </x:row>
  </x:sheetData>
  <x:mergeCells>
    <x:mergeCell ref="A1:L1"/>
    <x:mergeCell ref="A2:L2"/>
  </x:mergeCells>
  <x:conditionalFormatting sqref="C6:C8">
    <x:cfRule type="containsText" dxfId="0" priority="1" operator="containsText" text="Revisar"/>
  </x:conditionalFormatting>
  <x:pageMargins left="0.7" right="0.7" top="0.75" bottom="0.75" header="0.3" footer="0.3"/>
</x:worksheet>
</file>