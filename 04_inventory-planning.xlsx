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b5cba76d6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cd307f8f34b4913"/>
    <x:sheet xmlns:r="http://schemas.openxmlformats.org/officeDocument/2006/relationships" name="Inventory" sheetId="2" r:id="R80e01eb1dd34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#,##0"/>
    <x:numFmt numFmtId="201" formatCode="#,##0"/>
  </x:numFmts>
  <x:fonts count="10">
    <x:font>
      <x:sz val="11"/>
      <x:name val="Carlito"/>
    </x:font>
    <x:font>
      <x:b/>
      <x:sz val="15"/>
      <x:color rgb="FF17324D"/>
      <x:name val="Arial"/>
    </x:font>
    <x:font>
      <x:i/>
      <x:sz val="9"/>
      <x:color rgb="FF667085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9"/>
      <x:color rgb="FF475467"/>
      <x:name val="Arial"/>
    </x:font>
    <x:font>
      <x:b/>
      <x:sz val="14"/>
      <x:color rgb="FF17324D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DFF3F0"/>
      </x:patternFill>
    </x:fill>
    <x:fill>
      <x:patternFill patternType="solid">
        <x:fgColor rgb="FF17324D"/>
      </x:patternFill>
    </x:fill>
  </x:fills>
  <x:borders count="14">
    <x:border/>
    <x:border>
      <x:bottom style="thin">
        <x:color rgb="FF1F6E8C"/>
      </x:bottom>
    </x:border>
    <x:border>
      <x:bottom style="medium">
        <x:color rgb="FF2C9C95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9E2EA"/>
      </x:left>
      <x:top style="thin">
        <x:color rgb="FFD9E2EA"/>
      </x:top>
      <x:bottom style="thin">
        <x:color rgb="FF17324D"/>
      </x:bottom>
    </x:border>
    <x:border>
      <x:top style="thin">
        <x:color rgb="FFD9E2EA"/>
      </x:top>
      <x:bottom style="thin">
        <x:color rgb="FF17324D"/>
      </x:bottom>
    </x:border>
    <x:border>
      <x:right style="thin">
        <x:color rgb="FFD9E2EA"/>
      </x:right>
      <x:top style="thin">
        <x:color rgb="FFD9E2EA"/>
      </x:top>
      <x:bottom style="thin">
        <x:color rgb="FF17324D"/>
      </x:bottom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horizontal="center" vertical="center"/>
    </x:xf>
    <x:xf numFmtId="201" fontId="7" fillId="3" borderId="2" xfId="0" applyNumberFormat="1" applyFont="1" applyFill="1" applyBorder="1" applyAlignment="1">
      <x:alignment vertical="center"/>
    </x:xf>
    <x:xf numFmtId="201" fontId="7" fillId="3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3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horizontal="center" vertical="center"/>
    </x:xf>
    <x:xf numFmtId="0" fontId="9" fillId="5" borderId="5" xfId="0" applyNumberFormat="1" applyFont="1" applyFill="1" applyBorder="1" applyAlignment="1">
      <x:alignment horizontal="center" vertic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edd545b514093" /><Relationship Type="http://schemas.openxmlformats.org/officeDocument/2006/relationships/theme" Target="/xl/theme/theme1.xml" Id="R7d1171c23be44385" /><Relationship Type="http://schemas.openxmlformats.org/officeDocument/2006/relationships/sharedStrings" Target="/xl/sharedStrings.xml" Id="R94f7d6e6b38047e4" /><Relationship Type="http://schemas.openxmlformats.org/officeDocument/2006/relationships/worksheet" Target="/xl/worksheets/sheet1.xml" Id="Rbcd307f8f34b4913" /><Relationship Type="http://schemas.openxmlformats.org/officeDocument/2006/relationships/worksheet" Target="/xl/worksheets/sheet2.xml" Id="R80e01eb1dd34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Inventory Replenishment Planner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Planejamento de estoque, ponto de reposição e compra sugerida | Dados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14" t="str">
        <x:v>Valor em estoque</x:v>
      </x:c>
      <x:c r="B5" s="9"/>
      <x:c r="C5" s="14" t="str">
        <x:v>Itens para comprar</x:v>
      </x:c>
      <x:c r="D5" s="9"/>
      <x:c r="E5" s="14" t="str">
        <x:v>Compra sugerida</x:v>
      </x:c>
      <x:c r="F5" s="9"/>
      <x:c r="G5" s="14" t="str">
        <x:v>Risco de ruptura</x:v>
      </x:c>
      <x:c r="H5" s="9"/>
      <x:c r="I5" s="9"/>
      <x:c r="J5" s="9"/>
      <x:c r="K5" s="9"/>
      <x:c r="L5" s="9"/>
    </x:row>
    <x:row r="6">
      <x:c r="A6" s="19" t="n">
        <x:f>SUM(Inventory!D6:D20)</x:f>
        <x:v>4176</x:v>
      </x:c>
      <x:c r="B6" s="9"/>
      <x:c r="C6" s="21" t="n">
        <x:f>COUNTIFS(Inventory!K6:K20,"Comprar")</x:f>
        <x:v>7</x:v>
      </x:c>
      <x:c r="D6" s="9"/>
      <x:c r="E6" s="21" t="n">
        <x:f>SUM(Inventory!J6:J20)</x:f>
        <x:v>275</x:v>
      </x:c>
      <x:c r="F6" s="9"/>
      <x:c r="G6" s="21" t="n">
        <x:f>COUNTIFS(Inventory!K6:K20,"Crítico")</x:f>
        <x:v>0</x:v>
      </x:c>
      <x:c r="H6" s="9"/>
      <x:c r="I6" s="9"/>
      <x:c r="J6" s="9"/>
      <x:c r="K6" s="9"/>
      <x:c r="L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</x:row>
    <x:row r="9">
      <x:c r="A9" s="23" t="str">
        <x:v>Itens prioritários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>
      <x:c r="A10" s="30" t="str">
        <x:v>SKU</x:v>
      </x:c>
      <x:c r="B10" s="31" t="str">
        <x:v>Produto</x:v>
      </x:c>
      <x:c r="C10" s="31" t="str">
        <x:v>Estoque atual</x:v>
      </x:c>
      <x:c r="D10" s="31" t="str">
        <x:v>Pedido sugerido</x:v>
      </x:c>
      <x:c r="E10" s="32" t="str">
        <x:v>Status</x:v>
      </x:c>
      <x:c r="F10" s="9"/>
      <x:c r="G10" s="9"/>
      <x:c r="H10" s="9"/>
      <x:c r="I10" s="9"/>
      <x:c r="J10" s="9"/>
      <x:c r="K10" s="9"/>
      <x:c r="L10" s="9"/>
    </x:row>
    <x:row r="11">
      <x:c r="A11" s="33" t="str">
        <x:f>Inventory!A6</x:f>
        <x:v>SKU-101</x:v>
      </x:c>
      <x:c r="B11" s="9" t="str">
        <x:f>Inventory!B6</x:f>
        <x:v>Cabo USB-C</x:v>
      </x:c>
      <x:c r="C11" s="9" t="n">
        <x:f>Inventory!E6</x:f>
        <x:v>420</x:v>
      </x:c>
      <x:c r="D11" s="9" t="n">
        <x:f>Inventory!J6</x:f>
        <x:v>0</x:v>
      </x:c>
      <x:c r="E11" s="34" t="str">
        <x:f>Inventory!K6</x:f>
        <x:v>Adequado</x:v>
      </x:c>
      <x:c r="F11" s="9"/>
      <x:c r="G11" s="9"/>
      <x:c r="H11" s="9"/>
      <x:c r="I11" s="9"/>
      <x:c r="J11" s="9"/>
      <x:c r="K11" s="9"/>
      <x:c r="L11" s="9"/>
    </x:row>
    <x:row r="12">
      <x:c r="A12" s="33" t="str">
        <x:f>Inventory!A7</x:f>
        <x:v>SKU-102</x:v>
      </x:c>
      <x:c r="B12" s="9" t="str">
        <x:f>Inventory!B7</x:f>
        <x:v>Teclado sem fio</x:v>
      </x:c>
      <x:c r="C12" s="9" t="n">
        <x:f>Inventory!E7</x:f>
        <x:v>84</x:v>
      </x:c>
      <x:c r="D12" s="9" t="n">
        <x:f>Inventory!J7</x:f>
        <x:v>0</x:v>
      </x:c>
      <x:c r="E12" s="34" t="str">
        <x:f>Inventory!K7</x:f>
        <x:v>Adequado</x:v>
      </x:c>
      <x:c r="F12" s="9"/>
      <x:c r="G12" s="9"/>
      <x:c r="H12" s="9"/>
      <x:c r="I12" s="9"/>
      <x:c r="J12" s="9"/>
      <x:c r="K12" s="9"/>
      <x:c r="L12" s="9"/>
    </x:row>
    <x:row r="13">
      <x:c r="A13" s="33" t="str">
        <x:f>Inventory!A8</x:f>
        <x:v>SKU-103</x:v>
      </x:c>
      <x:c r="B13" s="9" t="str">
        <x:f>Inventory!B8</x:f>
        <x:v>Mouse ergonômico</x:v>
      </x:c>
      <x:c r="C13" s="9" t="n">
        <x:f>Inventory!E8</x:f>
        <x:v>112</x:v>
      </x:c>
      <x:c r="D13" s="9" t="n">
        <x:f>Inventory!J8</x:f>
        <x:v>0</x:v>
      </x:c>
      <x:c r="E13" s="34" t="str">
        <x:f>Inventory!K8</x:f>
        <x:v>Adequado</x:v>
      </x:c>
      <x:c r="F13" s="9"/>
      <x:c r="G13" s="9"/>
      <x:c r="H13" s="9"/>
      <x:c r="I13" s="9"/>
      <x:c r="J13" s="9"/>
      <x:c r="K13" s="9"/>
      <x:c r="L13" s="9"/>
    </x:row>
    <x:row r="14">
      <x:c r="A14" s="33" t="str">
        <x:f>Inventory!A9</x:f>
        <x:v>SKU-104</x:v>
      </x:c>
      <x:c r="B14" s="9" t="str">
        <x:f>Inventory!B9</x:f>
        <x:v>Monitor 24"</x:v>
      </x:c>
      <x:c r="C14" s="9" t="n">
        <x:f>Inventory!E9</x:f>
        <x:v>34</x:v>
      </x:c>
      <x:c r="D14" s="9" t="n">
        <x:f>Inventory!J9</x:f>
        <x:v>24</x:v>
      </x:c>
      <x:c r="E14" s="34" t="str">
        <x:f>Inventory!K9</x:f>
        <x:v>Comprar</x:v>
      </x:c>
      <x:c r="F14" s="9"/>
      <x:c r="G14" s="9"/>
      <x:c r="H14" s="9"/>
      <x:c r="I14" s="9"/>
      <x:c r="J14" s="9"/>
      <x:c r="K14" s="9"/>
      <x:c r="L14" s="9"/>
    </x:row>
    <x:row r="15">
      <x:c r="A15" s="35" t="str">
        <x:f>Inventory!A10</x:f>
        <x:v>SKU-105</x:v>
      </x:c>
      <x:c r="B15" s="36" t="str">
        <x:f>Inventory!B10</x:f>
        <x:v>Headset Pro</x:v>
      </x:c>
      <x:c r="C15" s="36" t="n">
        <x:f>Inventory!E10</x:f>
        <x:v>61</x:v>
      </x:c>
      <x:c r="D15" s="36" t="n">
        <x:f>Inventory!J10</x:f>
        <x:v>87</x:v>
      </x:c>
      <x:c r="E15" s="37" t="str">
        <x:f>Inventory!K10</x:f>
        <x:v>Comprar</x:v>
      </x:c>
      <x:c r="F15" s="9"/>
      <x:c r="G15" s="9"/>
      <x:c r="H15" s="9"/>
      <x:c r="I15" s="9"/>
      <x:c r="J15" s="9"/>
      <x:c r="K15" s="9"/>
      <x:c r="L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conditionalFormatting sqref="E11:E15">
    <x:cfRule type="containsText" dxfId="0" priority="1" operator="containsText" text="Crític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Inventory Planning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Os campos de estoque e demanda simulam um cenário de reposição | Dados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30" t="str">
        <x:v>SKU</x:v>
      </x:c>
      <x:c r="B5" s="31" t="str">
        <x:v>Produto</x:v>
      </x:c>
      <x:c r="C5" s="31" t="str">
        <x:v>Categoria</x:v>
      </x:c>
      <x:c r="D5" s="31" t="str">
        <x:v>Custo unitário</x:v>
      </x:c>
      <x:c r="E5" s="31" t="str">
        <x:v>Estoque atual</x:v>
      </x:c>
      <x:c r="F5" s="31" t="str">
        <x:v>Demanda mensal</x:v>
      </x:c>
      <x:c r="G5" s="31" t="str">
        <x:v>Lead time (dias)</x:v>
      </x:c>
      <x:c r="H5" s="31" t="str">
        <x:v>Estoque segurança</x:v>
      </x:c>
      <x:c r="I5" s="31" t="str">
        <x:v>Ponto de reposição</x:v>
      </x:c>
      <x:c r="J5" s="31" t="str">
        <x:v>Pedido sugerido</x:v>
      </x:c>
      <x:c r="K5" s="32" t="str">
        <x:v>Status</x:v>
      </x:c>
      <x:c r="L5" s="9"/>
    </x:row>
    <x:row r="6">
      <x:c r="A6" s="33" t="str">
        <x:v>SKU-101</x:v>
      </x:c>
      <x:c r="B6" s="9" t="str">
        <x:v>Cabo USB-C</x:v>
      </x:c>
      <x:c r="C6" s="9" t="str">
        <x:v>Acessórios</x:v>
      </x:c>
      <x:c r="D6" s="38" t="n">
        <x:v>18</x:v>
      </x:c>
      <x:c r="E6" s="9" t="n">
        <x:v>420</x:v>
      </x:c>
      <x:c r="F6" s="9" t="n">
        <x:v>310</x:v>
      </x:c>
      <x:c r="G6" s="9" t="n">
        <x:v>14</x:v>
      </x:c>
      <x:c r="H6" s="9" t="n">
        <x:v>90</x:v>
      </x:c>
      <x:c r="I6" s="39" t="n">
        <x:f>F6/30*G6+H6</x:f>
        <x:v>234.66666666666669</x:v>
      </x:c>
      <x:c r="J6" s="39" t="n">
        <x:f>IF(E6&lt;=I6,MAX(F6*2-E6,0),0)</x:f>
        <x:v>0</x:v>
      </x:c>
      <x:c r="K6" s="34" t="str">
        <x:f>IF(E6&lt;=H6,"Crítico",IF(E6&lt;=I6,"Comprar","Adequado"))</x:f>
        <x:v>Adequado</x:v>
      </x:c>
      <x:c r="L6" s="9"/>
    </x:row>
    <x:row r="7">
      <x:c r="A7" s="33" t="str">
        <x:v>SKU-102</x:v>
      </x:c>
      <x:c r="B7" s="9" t="str">
        <x:v>Teclado sem fio</x:v>
      </x:c>
      <x:c r="C7" s="9" t="str">
        <x:v>Periféricos</x:v>
      </x:c>
      <x:c r="D7" s="38" t="n">
        <x:v>135</x:v>
      </x:c>
      <x:c r="E7" s="9" t="n">
        <x:v>84</x:v>
      </x:c>
      <x:c r="F7" s="9" t="n">
        <x:v>62</x:v>
      </x:c>
      <x:c r="G7" s="9" t="n">
        <x:v>21</x:v>
      </x:c>
      <x:c r="H7" s="9" t="n">
        <x:v>25</x:v>
      </x:c>
      <x:c r="I7" s="39" t="n">
        <x:f>F7/30*G7+H7</x:f>
        <x:v>68.4</x:v>
      </x:c>
      <x:c r="J7" s="39" t="n">
        <x:f>IF(E7&lt;=I7,MAX(F7*2-E7,0),0)</x:f>
        <x:v>0</x:v>
      </x:c>
      <x:c r="K7" s="34" t="str">
        <x:f>IF(E7&lt;=H7,"Crítico",IF(E7&lt;=I7,"Comprar","Adequado"))</x:f>
        <x:v>Adequado</x:v>
      </x:c>
      <x:c r="L7" s="9"/>
    </x:row>
    <x:row r="8">
      <x:c r="A8" s="33" t="str">
        <x:v>SKU-103</x:v>
      </x:c>
      <x:c r="B8" s="9" t="str">
        <x:v>Mouse ergonômico</x:v>
      </x:c>
      <x:c r="C8" s="9" t="str">
        <x:v>Periféricos</x:v>
      </x:c>
      <x:c r="D8" s="38" t="n">
        <x:v>95</x:v>
      </x:c>
      <x:c r="E8" s="9" t="n">
        <x:v>112</x:v>
      </x:c>
      <x:c r="F8" s="9" t="n">
        <x:v>88</x:v>
      </x:c>
      <x:c r="G8" s="9" t="n">
        <x:v>18</x:v>
      </x:c>
      <x:c r="H8" s="9" t="n">
        <x:v>30</x:v>
      </x:c>
      <x:c r="I8" s="39" t="n">
        <x:f>F8/30*G8+H8</x:f>
        <x:v>82.8</x:v>
      </x:c>
      <x:c r="J8" s="39" t="n">
        <x:f>IF(E8&lt;=I8,MAX(F8*2-E8,0),0)</x:f>
        <x:v>0</x:v>
      </x:c>
      <x:c r="K8" s="34" t="str">
        <x:f>IF(E8&lt;=H8,"Crítico",IF(E8&lt;=I8,"Comprar","Adequado"))</x:f>
        <x:v>Adequado</x:v>
      </x:c>
      <x:c r="L8" s="9"/>
    </x:row>
    <x:row r="9">
      <x:c r="A9" s="33" t="str">
        <x:v>SKU-104</x:v>
      </x:c>
      <x:c r="B9" s="9" t="str">
        <x:v>Monitor 24"</x:v>
      </x:c>
      <x:c r="C9" s="9" t="str">
        <x:v>Monitores</x:v>
      </x:c>
      <x:c r="D9" s="38" t="n">
        <x:v>780</x:v>
      </x:c>
      <x:c r="E9" s="9" t="n">
        <x:v>34</x:v>
      </x:c>
      <x:c r="F9" s="9" t="n">
        <x:v>29</x:v>
      </x:c>
      <x:c r="G9" s="9" t="n">
        <x:v>30</x:v>
      </x:c>
      <x:c r="H9" s="9" t="n">
        <x:v>12</x:v>
      </x:c>
      <x:c r="I9" s="39" t="n">
        <x:f>F9/30*G9+H9</x:f>
        <x:v>41</x:v>
      </x:c>
      <x:c r="J9" s="39" t="n">
        <x:f>IF(E9&lt;=I9,MAX(F9*2-E9,0),0)</x:f>
        <x:v>24</x:v>
      </x:c>
      <x:c r="K9" s="34" t="str">
        <x:f>IF(E9&lt;=H9,"Crítico",IF(E9&lt;=I9,"Comprar","Adequado"))</x:f>
        <x:v>Comprar</x:v>
      </x:c>
      <x:c r="L9" s="9"/>
    </x:row>
    <x:row r="10">
      <x:c r="A10" s="33" t="str">
        <x:v>SKU-105</x:v>
      </x:c>
      <x:c r="B10" s="9" t="str">
        <x:v>Headset Pro</x:v>
      </x:c>
      <x:c r="C10" s="9" t="str">
        <x:v>Áudio</x:v>
      </x:c>
      <x:c r="D10" s="38" t="n">
        <x:v>220</x:v>
      </x:c>
      <x:c r="E10" s="9" t="n">
        <x:v>61</x:v>
      </x:c>
      <x:c r="F10" s="9" t="n">
        <x:v>74</x:v>
      </x:c>
      <x:c r="G10" s="9" t="n">
        <x:v>20</x:v>
      </x:c>
      <x:c r="H10" s="9" t="n">
        <x:v>28</x:v>
      </x:c>
      <x:c r="I10" s="39" t="n">
        <x:f>F10/30*G10+H10</x:f>
        <x:v>77.33333333333334</x:v>
      </x:c>
      <x:c r="J10" s="39" t="n">
        <x:f>IF(E10&lt;=I10,MAX(F10*2-E10,0),0)</x:f>
        <x:v>87</x:v>
      </x:c>
      <x:c r="K10" s="34" t="str">
        <x:f>IF(E10&lt;=H10,"Crítico",IF(E10&lt;=I10,"Comprar","Adequado"))</x:f>
        <x:v>Comprar</x:v>
      </x:c>
      <x:c r="L10" s="9"/>
    </x:row>
    <x:row r="11">
      <x:c r="A11" s="33" t="str">
        <x:v>SKU-106</x:v>
      </x:c>
      <x:c r="B11" s="9" t="str">
        <x:v>Hub USB</x:v>
      </x:c>
      <x:c r="C11" s="9" t="str">
        <x:v>Acessórios</x:v>
      </x:c>
      <x:c r="D11" s="38" t="n">
        <x:v>75</x:v>
      </x:c>
      <x:c r="E11" s="9" t="n">
        <x:v>175</x:v>
      </x:c>
      <x:c r="F11" s="9" t="n">
        <x:v>140</x:v>
      </x:c>
      <x:c r="G11" s="9" t="n">
        <x:v>12</x:v>
      </x:c>
      <x:c r="H11" s="9" t="n">
        <x:v>45</x:v>
      </x:c>
      <x:c r="I11" s="39" t="n">
        <x:f>F11/30*G11+H11</x:f>
        <x:v>101</x:v>
      </x:c>
      <x:c r="J11" s="39" t="n">
        <x:f>IF(E11&lt;=I11,MAX(F11*2-E11,0),0)</x:f>
        <x:v>0</x:v>
      </x:c>
      <x:c r="K11" s="34" t="str">
        <x:f>IF(E11&lt;=H11,"Crítico",IF(E11&lt;=I11,"Comprar","Adequado"))</x:f>
        <x:v>Adequado</x:v>
      </x:c>
      <x:c r="L11" s="9"/>
    </x:row>
    <x:row r="12">
      <x:c r="A12" s="33" t="str">
        <x:v>SKU-107</x:v>
      </x:c>
      <x:c r="B12" s="9" t="str">
        <x:v>Webcam HD</x:v>
      </x:c>
      <x:c r="C12" s="9" t="str">
        <x:v>Vídeo</x:v>
      </x:c>
      <x:c r="D12" s="38" t="n">
        <x:v>260</x:v>
      </x:c>
      <x:c r="E12" s="9" t="n">
        <x:v>47</x:v>
      </x:c>
      <x:c r="F12" s="9" t="n">
        <x:v>43</x:v>
      </x:c>
      <x:c r="G12" s="9" t="n">
        <x:v>25</x:v>
      </x:c>
      <x:c r="H12" s="9" t="n">
        <x:v>18</x:v>
      </x:c>
      <x:c r="I12" s="39" t="n">
        <x:f>F12/30*G12+H12</x:f>
        <x:v>53.833333333333336</x:v>
      </x:c>
      <x:c r="J12" s="39" t="n">
        <x:f>IF(E12&lt;=I12,MAX(F12*2-E12,0),0)</x:f>
        <x:v>39</x:v>
      </x:c>
      <x:c r="K12" s="34" t="str">
        <x:f>IF(E12&lt;=H12,"Crítico",IF(E12&lt;=I12,"Comprar","Adequado"))</x:f>
        <x:v>Comprar</x:v>
      </x:c>
      <x:c r="L12" s="9"/>
    </x:row>
    <x:row r="13">
      <x:c r="A13" s="33" t="str">
        <x:v>SKU-108</x:v>
      </x:c>
      <x:c r="B13" s="9" t="str">
        <x:v>Suporte notebook</x:v>
      </x:c>
      <x:c r="C13" s="9" t="str">
        <x:v>Acessórios</x:v>
      </x:c>
      <x:c r="D13" s="38" t="n">
        <x:v>68</x:v>
      </x:c>
      <x:c r="E13" s="9" t="n">
        <x:v>230</x:v>
      </x:c>
      <x:c r="F13" s="9" t="n">
        <x:v>154</x:v>
      </x:c>
      <x:c r="G13" s="9" t="n">
        <x:v>10</x:v>
      </x:c>
      <x:c r="H13" s="9" t="n">
        <x:v>60</x:v>
      </x:c>
      <x:c r="I13" s="39" t="n">
        <x:f>F13/30*G13+H13</x:f>
        <x:v>111.33333333333334</x:v>
      </x:c>
      <x:c r="J13" s="39" t="n">
        <x:f>IF(E13&lt;=I13,MAX(F13*2-E13,0),0)</x:f>
        <x:v>0</x:v>
      </x:c>
      <x:c r="K13" s="34" t="str">
        <x:f>IF(E13&lt;=H13,"Crítico",IF(E13&lt;=I13,"Comprar","Adequado"))</x:f>
        <x:v>Adequado</x:v>
      </x:c>
      <x:c r="L13" s="9"/>
    </x:row>
    <x:row r="14">
      <x:c r="A14" s="33" t="str">
        <x:v>SKU-109</x:v>
      </x:c>
      <x:c r="B14" s="9" t="str">
        <x:v>SSD 1TB</x:v>
      </x:c>
      <x:c r="C14" s="9" t="str">
        <x:v>Armazenamento</x:v>
      </x:c>
      <x:c r="D14" s="38" t="n">
        <x:v>410</x:v>
      </x:c>
      <x:c r="E14" s="9" t="n">
        <x:v>39</x:v>
      </x:c>
      <x:c r="F14" s="9" t="n">
        <x:v>51</x:v>
      </x:c>
      <x:c r="G14" s="9" t="n">
        <x:v>16</x:v>
      </x:c>
      <x:c r="H14" s="9" t="n">
        <x:v>22</x:v>
      </x:c>
      <x:c r="I14" s="39" t="n">
        <x:f>F14/30*G14+H14</x:f>
        <x:v>49.2</x:v>
      </x:c>
      <x:c r="J14" s="39" t="n">
        <x:f>IF(E14&lt;=I14,MAX(F14*2-E14,0),0)</x:f>
        <x:v>63</x:v>
      </x:c>
      <x:c r="K14" s="34" t="str">
        <x:f>IF(E14&lt;=H14,"Crítico",IF(E14&lt;=I14,"Comprar","Adequado"))</x:f>
        <x:v>Comprar</x:v>
      </x:c>
      <x:c r="L14" s="9"/>
    </x:row>
    <x:row r="15">
      <x:c r="A15" s="33" t="str">
        <x:v>SKU-110</x:v>
      </x:c>
      <x:c r="B15" s="9" t="str">
        <x:v>Adaptador HDMI</x:v>
      </x:c>
      <x:c r="C15" s="9" t="str">
        <x:v>Acessórios</x:v>
      </x:c>
      <x:c r="D15" s="38" t="n">
        <x:v>32</x:v>
      </x:c>
      <x:c r="E15" s="9" t="n">
        <x:v>305</x:v>
      </x:c>
      <x:c r="F15" s="9" t="n">
        <x:v>190</x:v>
      </x:c>
      <x:c r="G15" s="9" t="n">
        <x:v>9</x:v>
      </x:c>
      <x:c r="H15" s="9" t="n">
        <x:v>75</x:v>
      </x:c>
      <x:c r="I15" s="39" t="n">
        <x:f>F15/30*G15+H15</x:f>
        <x:v>132</x:v>
      </x:c>
      <x:c r="J15" s="39" t="n">
        <x:f>IF(E15&lt;=I15,MAX(F15*2-E15,0),0)</x:f>
        <x:v>0</x:v>
      </x:c>
      <x:c r="K15" s="34" t="str">
        <x:f>IF(E15&lt;=H15,"Crítico",IF(E15&lt;=I15,"Comprar","Adequado"))</x:f>
        <x:v>Adequado</x:v>
      </x:c>
      <x:c r="L15" s="9"/>
    </x:row>
    <x:row r="16">
      <x:c r="A16" s="33" t="str">
        <x:v>SKU-111</x:v>
      </x:c>
      <x:c r="B16" s="9" t="str">
        <x:v>Cadeira office</x:v>
      </x:c>
      <x:c r="C16" s="9" t="str">
        <x:v>Mobiliário</x:v>
      </x:c>
      <x:c r="D16" s="38" t="n">
        <x:v>980</x:v>
      </x:c>
      <x:c r="E16" s="9" t="n">
        <x:v>17</x:v>
      </x:c>
      <x:c r="F16" s="9" t="n">
        <x:v>12</x:v>
      </x:c>
      <x:c r="G16" s="9" t="n">
        <x:v>35</x:v>
      </x:c>
      <x:c r="H16" s="9" t="n">
        <x:v>8</x:v>
      </x:c>
      <x:c r="I16" s="39" t="n">
        <x:f>F16/30*G16+H16</x:f>
        <x:v>22</x:v>
      </x:c>
      <x:c r="J16" s="39" t="n">
        <x:f>IF(E16&lt;=I16,MAX(F16*2-E16,0),0)</x:f>
        <x:v>7</x:v>
      </x:c>
      <x:c r="K16" s="34" t="str">
        <x:f>IF(E16&lt;=H16,"Crítico",IF(E16&lt;=I16,"Comprar","Adequado"))</x:f>
        <x:v>Comprar</x:v>
      </x:c>
      <x:c r="L16" s="9"/>
    </x:row>
    <x:row r="17">
      <x:c r="A17" s="33" t="str">
        <x:v>SKU-112</x:v>
      </x:c>
      <x:c r="B17" s="9" t="str">
        <x:v>Luminária LED</x:v>
      </x:c>
      <x:c r="C17" s="9" t="str">
        <x:v>Mobiliário</x:v>
      </x:c>
      <x:c r="D17" s="38" t="n">
        <x:v>115</x:v>
      </x:c>
      <x:c r="E17" s="9" t="n">
        <x:v>96</x:v>
      </x:c>
      <x:c r="F17" s="9" t="n">
        <x:v>73</x:v>
      </x:c>
      <x:c r="G17" s="9" t="n">
        <x:v>15</x:v>
      </x:c>
      <x:c r="H17" s="9" t="n">
        <x:v>32</x:v>
      </x:c>
      <x:c r="I17" s="39" t="n">
        <x:f>F17/30*G17+H17</x:f>
        <x:v>68.5</x:v>
      </x:c>
      <x:c r="J17" s="39" t="n">
        <x:f>IF(E17&lt;=I17,MAX(F17*2-E17,0),0)</x:f>
        <x:v>0</x:v>
      </x:c>
      <x:c r="K17" s="34" t="str">
        <x:f>IF(E17&lt;=H17,"Crítico",IF(E17&lt;=I17,"Comprar","Adequado"))</x:f>
        <x:v>Adequado</x:v>
      </x:c>
      <x:c r="L17" s="9"/>
    </x:row>
    <x:row r="18">
      <x:c r="A18" s="33" t="str">
        <x:v>SKU-113</x:v>
      </x:c>
      <x:c r="B18" s="9" t="str">
        <x:v>Microfone USB</x:v>
      </x:c>
      <x:c r="C18" s="9" t="str">
        <x:v>Áudio</x:v>
      </x:c>
      <x:c r="D18" s="38" t="n">
        <x:v>360</x:v>
      </x:c>
      <x:c r="E18" s="9" t="n">
        <x:v>28</x:v>
      </x:c>
      <x:c r="F18" s="9" t="n">
        <x:v>34</x:v>
      </x:c>
      <x:c r="G18" s="9" t="n">
        <x:v>20</x:v>
      </x:c>
      <x:c r="H18" s="9" t="n">
        <x:v>15</x:v>
      </x:c>
      <x:c r="I18" s="39" t="n">
        <x:f>F18/30*G18+H18</x:f>
        <x:v>37.666666666666664</x:v>
      </x:c>
      <x:c r="J18" s="39" t="n">
        <x:f>IF(E18&lt;=I18,MAX(F18*2-E18,0),0)</x:f>
        <x:v>40</x:v>
      </x:c>
      <x:c r="K18" s="34" t="str">
        <x:f>IF(E18&lt;=H18,"Crítico",IF(E18&lt;=I18,"Comprar","Adequado"))</x:f>
        <x:v>Comprar</x:v>
      </x:c>
      <x:c r="L18" s="9"/>
    </x:row>
    <x:row r="19">
      <x:c r="A19" s="33" t="str">
        <x:v>SKU-114</x:v>
      </x:c>
      <x:c r="B19" s="9" t="str">
        <x:v>Base notebook</x:v>
      </x:c>
      <x:c r="C19" s="9" t="str">
        <x:v>Acessórios</x:v>
      </x:c>
      <x:c r="D19" s="38" t="n">
        <x:v>88</x:v>
      </x:c>
      <x:c r="E19" s="9" t="n">
        <x:v>146</x:v>
      </x:c>
      <x:c r="F19" s="9" t="n">
        <x:v>105</x:v>
      </x:c>
      <x:c r="G19" s="9" t="n">
        <x:v>11</x:v>
      </x:c>
      <x:c r="H19" s="9" t="n">
        <x:v>50</x:v>
      </x:c>
      <x:c r="I19" s="39" t="n">
        <x:f>F19/30*G19+H19</x:f>
        <x:v>88.5</x:v>
      </x:c>
      <x:c r="J19" s="39" t="n">
        <x:f>IF(E19&lt;=I19,MAX(F19*2-E19,0),0)</x:f>
        <x:v>0</x:v>
      </x:c>
      <x:c r="K19" s="34" t="str">
        <x:f>IF(E19&lt;=H19,"Crítico",IF(E19&lt;=I19,"Comprar","Adequado"))</x:f>
        <x:v>Adequado</x:v>
      </x:c>
      <x:c r="L19" s="9"/>
    </x:row>
    <x:row r="20">
      <x:c r="A20" s="35" t="str">
        <x:v>SKU-115</x:v>
      </x:c>
      <x:c r="B20" s="36" t="str">
        <x:v>Roteador Wi-Fi</x:v>
      </x:c>
      <x:c r="C20" s="36" t="str">
        <x:v>Rede</x:v>
      </x:c>
      <x:c r="D20" s="40" t="n">
        <x:v>540</x:v>
      </x:c>
      <x:c r="E20" s="36" t="n">
        <x:v>23</x:v>
      </x:c>
      <x:c r="F20" s="36" t="n">
        <x:v>19</x:v>
      </x:c>
      <x:c r="G20" s="36" t="n">
        <x:v>28</x:v>
      </x:c>
      <x:c r="H20" s="36" t="n">
        <x:v>9</x:v>
      </x:c>
      <x:c r="I20" s="41" t="n">
        <x:f>F20/30*G20+H20</x:f>
        <x:v>26.733333333333334</x:v>
      </x:c>
      <x:c r="J20" s="41" t="n">
        <x:f>IF(E20&lt;=I20,MAX(F20*2-E20,0),0)</x:f>
        <x:v>15</x:v>
      </x:c>
      <x:c r="K20" s="37" t="str">
        <x:f>IF(E20&lt;=H20,"Crítico",IF(E20&lt;=I20,"Comprar","Adequado"))</x:f>
        <x:v>Comprar</x:v>
      </x:c>
      <x:c r="L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conditionalFormatting sqref="K6:K20">
    <x:cfRule type="containsText" dxfId="1" priority="1" operator="containsText" text="Crítico"/>
    <x:cfRule type="containsText" dxfId="2" priority="2" operator="containsText" text="Comprar"/>
  </x:conditionalFormatting>
  <x:pageMargins left="0.7" right="0.7" top="0.75" bottom="0.75" header="0.3" footer="0.3"/>
</x:worksheet>
</file>